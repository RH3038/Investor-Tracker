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https://d.docs.live.net/e81ecd1db3cfc079/Desktop/Investment's/"/>
    </mc:Choice>
  </mc:AlternateContent>
  <xr:revisionPtr revIDLastSave="6466" documentId="8_{1E553700-F1D0-4586-9995-5A2DB389B253}" xr6:coauthVersionLast="45" xr6:coauthVersionMax="45" xr10:uidLastSave="{17B1D0EF-4B4C-4002-9A42-985C881BF707}"/>
  <bookViews>
    <workbookView xWindow="-120" yWindow="-120" windowWidth="20730" windowHeight="11160" activeTab="3" xr2:uid="{5DD57FE4-1D88-4F79-A84E-0C9BDB58AFBA}"/>
  </bookViews>
  <sheets>
    <sheet name="Buy Data Entry" sheetId="2" r:id="rId1"/>
    <sheet name="Sell Data Entry" sheetId="8" r:id="rId2"/>
    <sheet name="Combined Current Holdings" sheetId="7" r:id="rId3"/>
    <sheet name="Current Holdings" sheetId="1" r:id="rId4"/>
    <sheet name="Purchase Data" sheetId="3" r:id="rId5"/>
    <sheet name="Sell Data" sheetId="4" r:id="rId6"/>
    <sheet name="Investor Data" sheetId="5" r:id="rId7"/>
  </sheets>
  <definedNames>
    <definedName name="_xlnm._FilterDatabase" localSheetId="3" hidden="1">'Current Holdings'!$A$1:$K$1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3" i="4" l="1"/>
  <c r="H3" i="4"/>
  <c r="H2" i="4"/>
  <c r="I2" i="4" s="1"/>
  <c r="I5" i="7"/>
  <c r="I4" i="7"/>
  <c r="H4" i="7"/>
  <c r="G4" i="7" a="1"/>
  <c r="G4" i="7" s="1"/>
  <c r="J4" i="1"/>
  <c r="I4" i="1"/>
  <c r="H4" i="1"/>
  <c r="K4" i="1" s="1"/>
  <c r="G4" i="1" a="1"/>
  <c r="G4" i="1" s="1"/>
  <c r="H3" i="7"/>
  <c r="G3" i="7" a="1"/>
  <c r="G3" i="7" s="1"/>
  <c r="J3" i="7" s="1"/>
  <c r="H3" i="1"/>
  <c r="G3" i="1" a="1"/>
  <c r="G3" i="1" s="1"/>
  <c r="J3" i="1" s="1"/>
  <c r="H2" i="7"/>
  <c r="H5" i="7" s="1"/>
  <c r="G2" i="7" a="1"/>
  <c r="G2" i="7" s="1"/>
  <c r="J2" i="7" s="1"/>
  <c r="I2" i="1"/>
  <c r="H2" i="1"/>
  <c r="H5" i="1" s="1"/>
  <c r="G2" i="1" a="1"/>
  <c r="G2" i="1" s="1"/>
  <c r="J4" i="7" l="1"/>
  <c r="K4" i="7" s="1"/>
  <c r="K3" i="7"/>
  <c r="I3" i="7"/>
  <c r="K3" i="1"/>
  <c r="I3" i="1"/>
  <c r="I5" i="1" s="1"/>
  <c r="J2" i="1"/>
  <c r="J5" i="1" s="1"/>
  <c r="K2" i="1"/>
  <c r="K2" i="7"/>
  <c r="I2" i="7"/>
  <c r="K5" i="1" l="1"/>
  <c r="K5" i="7"/>
  <c r="J5" i="7"/>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6"/>
        </ext>
      </extLst>
    </bk>
    <bk>
      <extLst>
        <ext uri="{3e2802c4-a4d2-4d8b-9148-e3be6c30e623}">
          <xlrd:rvb i="9"/>
        </ext>
      </extLst>
    </bk>
    <bk>
      <extLst>
        <ext uri="{3e2802c4-a4d2-4d8b-9148-e3be6c30e623}">
          <xlrd:rvb i="16"/>
        </ext>
      </extLst>
    </bk>
    <bk>
      <extLst>
        <ext uri="{3e2802c4-a4d2-4d8b-9148-e3be6c30e623}">
          <xlrd:rvb i="18"/>
        </ext>
      </extLst>
    </bk>
    <bk>
      <extLst>
        <ext uri="{3e2802c4-a4d2-4d8b-9148-e3be6c30e623}">
          <xlrd:rvb i="20"/>
        </ext>
      </extLst>
    </bk>
  </futureMetadata>
  <cellMetadata count="1">
    <bk>
      <rc t="1" v="0"/>
    </bk>
  </cellMetadata>
  <valueMetadata count="5">
    <bk>
      <rc t="2" v="0"/>
    </bk>
    <bk>
      <rc t="2" v="1"/>
    </bk>
    <bk>
      <rc t="2" v="2"/>
    </bk>
    <bk>
      <rc t="2" v="3"/>
    </bk>
    <bk>
      <rc t="2" v="4"/>
    </bk>
  </valueMetadata>
</metadata>
</file>

<file path=xl/sharedStrings.xml><?xml version="1.0" encoding="utf-8"?>
<sst xmlns="http://schemas.openxmlformats.org/spreadsheetml/2006/main" count="88" uniqueCount="36">
  <si>
    <t>Stock</t>
  </si>
  <si>
    <t>Total</t>
  </si>
  <si>
    <t>Cost</t>
  </si>
  <si>
    <t>Current Price</t>
  </si>
  <si>
    <t>Shares</t>
  </si>
  <si>
    <t>Purchase Date</t>
  </si>
  <si>
    <t>% Gain</t>
  </si>
  <si>
    <t>$ Gain</t>
  </si>
  <si>
    <t>Stock:</t>
  </si>
  <si>
    <t>Shares:</t>
  </si>
  <si>
    <t>Purchase Date:</t>
  </si>
  <si>
    <t>Purchase Price</t>
  </si>
  <si>
    <t>Purchase Price:</t>
  </si>
  <si>
    <t>First Name</t>
  </si>
  <si>
    <t>Last Name</t>
  </si>
  <si>
    <t>First Name:</t>
  </si>
  <si>
    <t>Last Name:</t>
  </si>
  <si>
    <t>Totals:</t>
  </si>
  <si>
    <t>Sell Price</t>
  </si>
  <si>
    <t>Sell Date</t>
  </si>
  <si>
    <t>Profit</t>
  </si>
  <si>
    <t>Avg Price</t>
  </si>
  <si>
    <t>Invested Money</t>
  </si>
  <si>
    <t>Remaining Cash</t>
  </si>
  <si>
    <t>Entries:</t>
  </si>
  <si>
    <t xml:space="preserve">    Sell Data Entry</t>
  </si>
  <si>
    <t xml:space="preserve">   Purchase Data Entry</t>
  </si>
  <si>
    <t>Sell Date:</t>
  </si>
  <si>
    <t>Sell Price:</t>
  </si>
  <si>
    <t>Jim</t>
  </si>
  <si>
    <t>Tim</t>
  </si>
  <si>
    <t>Jamie</t>
  </si>
  <si>
    <t>Foxx</t>
  </si>
  <si>
    <t>ARCX:UCO</t>
  </si>
  <si>
    <t>Tom</t>
  </si>
  <si>
    <t>Dodd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</si>
</sst>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7" formatCode="&quot;$&quot;#,##0.00_);\(&quot;$&quot;#,##0.00\)"/>
    <numFmt numFmtId="44" formatCode="_(&quot;$&quot;* #,##0.00_);_(&quot;$&quot;* \(#,##0.00\);_(&quot;$&quot;* &quot;-&quot;??_);_(@_)"/>
    <numFmt numFmtId="166" formatCode="&quot;$&quot;#,##0.00"/>
  </numFmts>
  <fonts count="9"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28"/>
      <color theme="1"/>
      <name val="Calibri"/>
      <family val="2"/>
      <scheme val="minor"/>
    </font>
    <font>
      <b/>
      <sz val="14"/>
      <color theme="1"/>
      <name val="Calibri"/>
      <family val="2"/>
      <scheme val="minor"/>
    </font>
    <font>
      <sz val="11"/>
      <name val="Calibri"/>
      <family val="2"/>
      <scheme val="minor"/>
    </font>
    <font>
      <b/>
      <sz val="14"/>
      <color theme="0"/>
      <name val="Calibri"/>
      <family val="2"/>
      <scheme val="minor"/>
    </font>
  </fonts>
  <fills count="6">
    <fill>
      <patternFill patternType="none"/>
    </fill>
    <fill>
      <patternFill patternType="gray125"/>
    </fill>
    <fill>
      <patternFill patternType="solid">
        <fgColor theme="9" tint="0.3999755851924192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499984740745262"/>
        <bgColor indexed="64"/>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right/>
      <top/>
      <bottom style="thin">
        <color auto="1"/>
      </bottom>
      <diagonal/>
    </border>
    <border>
      <left style="thick">
        <color theme="9" tint="-0.24994659260841701"/>
      </left>
      <right/>
      <top style="thick">
        <color theme="9" tint="-0.24994659260841701"/>
      </top>
      <bottom/>
      <diagonal/>
    </border>
    <border>
      <left/>
      <right/>
      <top style="thick">
        <color theme="9" tint="-0.24994659260841701"/>
      </top>
      <bottom/>
      <diagonal/>
    </border>
    <border>
      <left/>
      <right style="thick">
        <color theme="9" tint="-0.24994659260841701"/>
      </right>
      <top style="thick">
        <color theme="9" tint="-0.24994659260841701"/>
      </top>
      <bottom/>
      <diagonal/>
    </border>
    <border>
      <left style="thick">
        <color theme="9" tint="-0.24994659260841701"/>
      </left>
      <right/>
      <top/>
      <bottom/>
      <diagonal/>
    </border>
    <border>
      <left/>
      <right style="thick">
        <color theme="9" tint="-0.24994659260841701"/>
      </right>
      <top/>
      <bottom/>
      <diagonal/>
    </border>
    <border>
      <left style="thick">
        <color theme="9" tint="-0.24994659260841701"/>
      </left>
      <right/>
      <top/>
      <bottom style="thin">
        <color auto="1"/>
      </bottom>
      <diagonal/>
    </border>
    <border>
      <left/>
      <right style="thick">
        <color theme="9" tint="-0.24994659260841701"/>
      </right>
      <top/>
      <bottom style="thin">
        <color auto="1"/>
      </bottom>
      <diagonal/>
    </border>
    <border>
      <left style="thick">
        <color theme="9" tint="-0.24994659260841701"/>
      </left>
      <right/>
      <top/>
      <bottom style="thick">
        <color theme="9" tint="-0.24994659260841701"/>
      </bottom>
      <diagonal/>
    </border>
    <border>
      <left/>
      <right/>
      <top/>
      <bottom style="thick">
        <color theme="9" tint="-0.24994659260841701"/>
      </bottom>
      <diagonal/>
    </border>
    <border>
      <left/>
      <right style="thick">
        <color theme="9" tint="-0.24994659260841701"/>
      </right>
      <top/>
      <bottom style="thick">
        <color theme="9" tint="-0.24994659260841701"/>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top/>
      <bottom/>
      <diagonal/>
    </border>
    <border>
      <left style="thin">
        <color auto="1"/>
      </left>
      <right style="thin">
        <color auto="1"/>
      </right>
      <top/>
      <bottom/>
      <diagonal/>
    </border>
  </borders>
  <cellStyleXfs count="3">
    <xf numFmtId="0" fontId="0" fillId="0" borderId="0"/>
    <xf numFmtId="44" fontId="2" fillId="0" borderId="0" applyFont="0" applyFill="0" applyBorder="0" applyAlignment="0" applyProtection="0"/>
    <xf numFmtId="9" fontId="2" fillId="0" borderId="0" applyFont="0" applyFill="0" applyBorder="0" applyAlignment="0" applyProtection="0"/>
  </cellStyleXfs>
  <cellXfs count="113">
    <xf numFmtId="0" fontId="0" fillId="0" borderId="0" xfId="0"/>
    <xf numFmtId="0" fontId="0" fillId="2" borderId="3" xfId="0" applyFill="1" applyBorder="1" applyAlignment="1">
      <alignment horizontal="center" vertical="center"/>
    </xf>
    <xf numFmtId="0" fontId="6" fillId="2" borderId="3" xfId="0" applyFont="1" applyFill="1" applyBorder="1" applyAlignment="1">
      <alignment horizontal="center" vertical="center"/>
    </xf>
    <xf numFmtId="0" fontId="4" fillId="4" borderId="0" xfId="0" applyFont="1" applyFill="1" applyBorder="1" applyAlignment="1"/>
    <xf numFmtId="0" fontId="1" fillId="4" borderId="0" xfId="0" applyFont="1" applyFill="1" applyBorder="1" applyAlignment="1"/>
    <xf numFmtId="0" fontId="0" fillId="4" borderId="0" xfId="0" applyFill="1" applyAlignment="1"/>
    <xf numFmtId="0" fontId="0" fillId="4" borderId="0" xfId="0" applyFill="1"/>
    <xf numFmtId="0" fontId="0" fillId="3" borderId="0" xfId="0" applyFill="1" applyBorder="1"/>
    <xf numFmtId="0" fontId="0" fillId="3" borderId="8" xfId="0" applyFill="1" applyBorder="1"/>
    <xf numFmtId="0" fontId="0" fillId="3" borderId="9" xfId="0" applyFill="1" applyBorder="1"/>
    <xf numFmtId="0" fontId="0" fillId="3" borderId="12" xfId="0" applyFill="1" applyBorder="1"/>
    <xf numFmtId="0" fontId="0" fillId="3" borderId="13" xfId="0" applyFill="1" applyBorder="1"/>
    <xf numFmtId="0" fontId="0" fillId="3" borderId="14" xfId="0" applyFill="1" applyBorder="1"/>
    <xf numFmtId="0" fontId="1" fillId="2" borderId="15" xfId="0" applyFont="1" applyFill="1" applyBorder="1" applyAlignment="1">
      <alignment horizontal="center"/>
    </xf>
    <xf numFmtId="0" fontId="1" fillId="2" borderId="2" xfId="0" applyFont="1" applyFill="1" applyBorder="1" applyAlignment="1">
      <alignment horizontal="center"/>
    </xf>
    <xf numFmtId="0" fontId="1" fillId="2" borderId="16" xfId="0" applyFont="1" applyFill="1" applyBorder="1" applyAlignment="1">
      <alignment horizontal="center"/>
    </xf>
    <xf numFmtId="14" fontId="0" fillId="2" borderId="3" xfId="0" applyNumberFormat="1" applyFill="1" applyBorder="1" applyAlignment="1">
      <alignment horizontal="center" vertical="center"/>
    </xf>
    <xf numFmtId="0" fontId="0" fillId="3" borderId="17" xfId="0" applyFill="1" applyBorder="1" applyAlignment="1">
      <alignment horizontal="center"/>
    </xf>
    <xf numFmtId="0" fontId="0" fillId="3" borderId="18" xfId="0" applyFill="1" applyBorder="1" applyAlignment="1">
      <alignment horizontal="center"/>
    </xf>
    <xf numFmtId="14" fontId="0" fillId="3" borderId="19" xfId="0" applyNumberFormat="1" applyFill="1" applyBorder="1" applyAlignment="1">
      <alignment horizontal="center"/>
    </xf>
    <xf numFmtId="7" fontId="0" fillId="3" borderId="18" xfId="1" applyNumberFormat="1" applyFont="1" applyFill="1" applyBorder="1" applyAlignment="1">
      <alignment horizontal="center"/>
    </xf>
    <xf numFmtId="7" fontId="0" fillId="0" borderId="0" xfId="1" applyNumberFormat="1" applyFont="1"/>
    <xf numFmtId="14" fontId="0" fillId="0" borderId="0" xfId="0" applyNumberFormat="1"/>
    <xf numFmtId="2" fontId="1" fillId="2" borderId="2" xfId="0" applyNumberFormat="1" applyFont="1" applyFill="1" applyBorder="1" applyAlignment="1">
      <alignment horizontal="center"/>
    </xf>
    <xf numFmtId="2" fontId="0" fillId="3" borderId="18" xfId="0" applyNumberFormat="1" applyFill="1" applyBorder="1" applyAlignment="1">
      <alignment horizontal="center"/>
    </xf>
    <xf numFmtId="2" fontId="0" fillId="0" borderId="0" xfId="0" applyNumberFormat="1"/>
    <xf numFmtId="49" fontId="0" fillId="3" borderId="18" xfId="0" applyNumberFormat="1" applyFill="1" applyBorder="1" applyAlignment="1">
      <alignment horizontal="center"/>
    </xf>
    <xf numFmtId="49" fontId="1" fillId="2" borderId="2" xfId="0" applyNumberFormat="1" applyFont="1" applyFill="1" applyBorder="1" applyAlignment="1">
      <alignment horizontal="center"/>
    </xf>
    <xf numFmtId="49" fontId="0" fillId="0" borderId="0" xfId="0" applyNumberFormat="1"/>
    <xf numFmtId="0" fontId="0" fillId="3" borderId="1" xfId="0" applyFont="1" applyFill="1" applyBorder="1" applyAlignment="1">
      <alignment horizontal="center"/>
    </xf>
    <xf numFmtId="0" fontId="0" fillId="2" borderId="18" xfId="0" applyFill="1" applyBorder="1" applyAlignment="1">
      <alignment horizontal="center"/>
    </xf>
    <xf numFmtId="166" fontId="3" fillId="2" borderId="18" xfId="0" applyNumberFormat="1" applyFont="1" applyFill="1" applyBorder="1" applyAlignment="1">
      <alignment horizontal="center"/>
    </xf>
    <xf numFmtId="9" fontId="3" fillId="2" borderId="18" xfId="2" applyFont="1" applyFill="1" applyBorder="1" applyAlignment="1">
      <alignment horizontal="center"/>
    </xf>
    <xf numFmtId="166" fontId="3" fillId="2" borderId="19" xfId="0" applyNumberFormat="1" applyFont="1" applyFill="1" applyBorder="1" applyAlignment="1">
      <alignment horizontal="center"/>
    </xf>
    <xf numFmtId="0" fontId="3" fillId="2" borderId="17" xfId="0" applyFont="1" applyFill="1" applyBorder="1" applyAlignment="1">
      <alignment horizontal="center"/>
    </xf>
    <xf numFmtId="0" fontId="3" fillId="2" borderId="1" xfId="0" applyFont="1" applyFill="1" applyBorder="1" applyAlignment="1">
      <alignment horizontal="center"/>
    </xf>
    <xf numFmtId="0" fontId="0" fillId="2" borderId="1" xfId="0" applyFont="1" applyFill="1" applyBorder="1" applyAlignment="1">
      <alignment horizontal="center"/>
    </xf>
    <xf numFmtId="166" fontId="3" fillId="2" borderId="1" xfId="0" applyNumberFormat="1" applyFont="1" applyFill="1" applyBorder="1" applyAlignment="1">
      <alignment horizontal="center"/>
    </xf>
    <xf numFmtId="166" fontId="0" fillId="3" borderId="1" xfId="0" applyNumberFormat="1" applyFont="1" applyFill="1" applyBorder="1" applyAlignment="1">
      <alignment horizontal="center"/>
    </xf>
    <xf numFmtId="166" fontId="0" fillId="0" borderId="0" xfId="0" applyNumberFormat="1"/>
    <xf numFmtId="49" fontId="0" fillId="2" borderId="18" xfId="0" applyNumberFormat="1" applyFill="1" applyBorder="1" applyAlignment="1">
      <alignment horizontal="center"/>
    </xf>
    <xf numFmtId="2" fontId="0" fillId="2" borderId="18" xfId="0" applyNumberFormat="1" applyFill="1" applyBorder="1" applyAlignment="1">
      <alignment horizontal="center"/>
    </xf>
    <xf numFmtId="0" fontId="0" fillId="2" borderId="8" xfId="0" applyFill="1" applyBorder="1"/>
    <xf numFmtId="0" fontId="0" fillId="2" borderId="0" xfId="0" applyFill="1" applyBorder="1"/>
    <xf numFmtId="0" fontId="0" fillId="2" borderId="12" xfId="0" applyFill="1" applyBorder="1"/>
    <xf numFmtId="0" fontId="0" fillId="2" borderId="13" xfId="0" applyFill="1" applyBorder="1"/>
    <xf numFmtId="0" fontId="0" fillId="2" borderId="9" xfId="0" applyFill="1" applyBorder="1"/>
    <xf numFmtId="0" fontId="0" fillId="2" borderId="14" xfId="0" applyFill="1" applyBorder="1"/>
    <xf numFmtId="0" fontId="6" fillId="3" borderId="3" xfId="0" applyFont="1" applyFill="1" applyBorder="1" applyAlignment="1">
      <alignment horizontal="center" vertical="center"/>
    </xf>
    <xf numFmtId="0" fontId="0" fillId="3" borderId="3" xfId="0" applyFill="1" applyBorder="1" applyAlignment="1">
      <alignment horizontal="center" vertical="center"/>
    </xf>
    <xf numFmtId="14" fontId="0" fillId="3" borderId="3" xfId="0" applyNumberFormat="1" applyFill="1" applyBorder="1" applyAlignment="1">
      <alignment horizontal="center" vertical="center"/>
    </xf>
    <xf numFmtId="7" fontId="0" fillId="5" borderId="18" xfId="1" applyNumberFormat="1" applyFont="1" applyFill="1" applyBorder="1" applyAlignment="1">
      <alignment horizontal="center"/>
    </xf>
    <xf numFmtId="0" fontId="0" fillId="3" borderId="19" xfId="0" applyFont="1" applyFill="1" applyBorder="1" applyAlignment="1">
      <alignment horizontal="center"/>
    </xf>
    <xf numFmtId="2" fontId="0" fillId="3" borderId="19" xfId="0" applyNumberFormat="1" applyFont="1" applyFill="1" applyBorder="1" applyAlignment="1">
      <alignment horizontal="center"/>
    </xf>
    <xf numFmtId="14" fontId="0" fillId="3" borderId="19" xfId="0" applyNumberFormat="1" applyFont="1" applyFill="1" applyBorder="1" applyAlignment="1">
      <alignment horizontal="center"/>
    </xf>
    <xf numFmtId="4" fontId="7" fillId="3" borderId="19" xfId="0" applyNumberFormat="1" applyFont="1" applyFill="1" applyBorder="1" applyAlignment="1">
      <alignment horizontal="center"/>
    </xf>
    <xf numFmtId="7" fontId="0" fillId="3" borderId="19" xfId="1" applyNumberFormat="1" applyFont="1" applyFill="1" applyBorder="1" applyAlignment="1">
      <alignment horizontal="center"/>
    </xf>
    <xf numFmtId="0" fontId="3" fillId="5" borderId="20" xfId="0" applyFont="1" applyFill="1" applyBorder="1" applyAlignment="1">
      <alignment horizontal="center"/>
    </xf>
    <xf numFmtId="0" fontId="0" fillId="3" borderId="20" xfId="0" applyFont="1" applyFill="1" applyBorder="1" applyAlignment="1">
      <alignment horizontal="center"/>
    </xf>
    <xf numFmtId="0" fontId="3" fillId="5" borderId="0" xfId="0" applyFont="1" applyFill="1" applyBorder="1" applyAlignment="1">
      <alignment horizontal="center"/>
    </xf>
    <xf numFmtId="0" fontId="3" fillId="5" borderId="21" xfId="0" applyFont="1" applyFill="1" applyBorder="1" applyAlignment="1">
      <alignment horizontal="center"/>
    </xf>
    <xf numFmtId="2" fontId="3" fillId="5" borderId="21" xfId="0" applyNumberFormat="1" applyFont="1" applyFill="1" applyBorder="1" applyAlignment="1">
      <alignment horizontal="center"/>
    </xf>
    <xf numFmtId="14" fontId="3" fillId="5" borderId="21" xfId="0" applyNumberFormat="1" applyFont="1" applyFill="1" applyBorder="1" applyAlignment="1">
      <alignment horizontal="center"/>
    </xf>
    <xf numFmtId="7" fontId="3" fillId="5" borderId="22" xfId="1" applyNumberFormat="1" applyFont="1" applyFill="1" applyBorder="1" applyAlignment="1">
      <alignment horizontal="center"/>
    </xf>
    <xf numFmtId="4" fontId="3" fillId="5" borderId="21" xfId="0" applyNumberFormat="1" applyFont="1" applyFill="1" applyBorder="1" applyAlignment="1">
      <alignment horizontal="center"/>
    </xf>
    <xf numFmtId="7" fontId="3" fillId="5" borderId="21" xfId="1" applyNumberFormat="1" applyFont="1" applyFill="1" applyBorder="1" applyAlignment="1">
      <alignment horizontal="center"/>
    </xf>
    <xf numFmtId="0" fontId="0" fillId="5" borderId="19" xfId="0" applyFont="1" applyFill="1" applyBorder="1" applyAlignment="1">
      <alignment horizontal="center"/>
    </xf>
    <xf numFmtId="2" fontId="0" fillId="5" borderId="19" xfId="0" applyNumberFormat="1" applyFont="1" applyFill="1" applyBorder="1" applyAlignment="1">
      <alignment horizontal="center"/>
    </xf>
    <xf numFmtId="14" fontId="0" fillId="5" borderId="19" xfId="0" applyNumberFormat="1" applyFont="1" applyFill="1" applyBorder="1" applyAlignment="1">
      <alignment horizontal="center"/>
    </xf>
    <xf numFmtId="0" fontId="0" fillId="5" borderId="19" xfId="0" applyFont="1" applyFill="1" applyBorder="1"/>
    <xf numFmtId="166" fontId="0" fillId="3" borderId="18" xfId="0" applyNumberFormat="1" applyFill="1" applyBorder="1" applyAlignment="1">
      <alignment horizontal="center"/>
    </xf>
    <xf numFmtId="9" fontId="0" fillId="3" borderId="18" xfId="2" applyFont="1" applyFill="1" applyBorder="1" applyAlignment="1">
      <alignment horizontal="center"/>
    </xf>
    <xf numFmtId="166" fontId="0" fillId="3" borderId="19" xfId="0" applyNumberFormat="1" applyFill="1" applyBorder="1" applyAlignment="1">
      <alignment horizontal="center"/>
    </xf>
    <xf numFmtId="166" fontId="0" fillId="3" borderId="19" xfId="0" applyNumberFormat="1" applyFont="1" applyFill="1" applyBorder="1" applyAlignment="1">
      <alignment horizontal="center"/>
    </xf>
    <xf numFmtId="9" fontId="0" fillId="3" borderId="19" xfId="2" applyNumberFormat="1" applyFont="1" applyFill="1" applyBorder="1" applyAlignment="1">
      <alignment horizontal="center"/>
    </xf>
    <xf numFmtId="49" fontId="0" fillId="3" borderId="19" xfId="0" applyNumberFormat="1" applyFont="1" applyFill="1" applyBorder="1" applyAlignment="1">
      <alignment horizontal="center"/>
    </xf>
    <xf numFmtId="4" fontId="0" fillId="2" borderId="3" xfId="0" applyNumberFormat="1" applyFill="1" applyBorder="1" applyAlignment="1">
      <alignment horizontal="center" vertical="center"/>
    </xf>
    <xf numFmtId="0" fontId="3" fillId="2" borderId="20" xfId="0" applyFont="1" applyFill="1" applyBorder="1" applyAlignment="1">
      <alignment horizontal="center"/>
    </xf>
    <xf numFmtId="0" fontId="3" fillId="2" borderId="0" xfId="0" applyFont="1" applyFill="1" applyBorder="1" applyAlignment="1">
      <alignment horizontal="center"/>
    </xf>
    <xf numFmtId="0" fontId="3" fillId="2" borderId="21" xfId="0" applyFont="1" applyFill="1" applyBorder="1" applyAlignment="1">
      <alignment horizontal="center"/>
    </xf>
    <xf numFmtId="49" fontId="3" fillId="2" borderId="21" xfId="0" applyNumberFormat="1" applyFont="1" applyFill="1" applyBorder="1" applyAlignment="1">
      <alignment horizontal="center"/>
    </xf>
    <xf numFmtId="2" fontId="3" fillId="2" borderId="21" xfId="0" applyNumberFormat="1" applyFont="1" applyFill="1" applyBorder="1" applyAlignment="1">
      <alignment horizontal="center"/>
    </xf>
    <xf numFmtId="14" fontId="3" fillId="2" borderId="21" xfId="0" applyNumberFormat="1" applyFont="1" applyFill="1" applyBorder="1" applyAlignment="1">
      <alignment horizontal="center"/>
    </xf>
    <xf numFmtId="7" fontId="3" fillId="2" borderId="21" xfId="1" applyNumberFormat="1" applyFont="1" applyFill="1" applyBorder="1" applyAlignment="1">
      <alignment horizontal="center"/>
    </xf>
    <xf numFmtId="0" fontId="0" fillId="2" borderId="16" xfId="0" applyFont="1" applyFill="1" applyBorder="1" applyAlignment="1">
      <alignment horizontal="center"/>
    </xf>
    <xf numFmtId="49" fontId="0" fillId="2" borderId="16" xfId="0" applyNumberFormat="1" applyFont="1" applyFill="1" applyBorder="1" applyAlignment="1">
      <alignment horizontal="center"/>
    </xf>
    <xf numFmtId="2" fontId="0" fillId="2" borderId="16" xfId="0" applyNumberFormat="1" applyFont="1" applyFill="1" applyBorder="1" applyAlignment="1">
      <alignment horizontal="center"/>
    </xf>
    <xf numFmtId="14" fontId="0" fillId="2" borderId="16" xfId="0" applyNumberFormat="1" applyFont="1" applyFill="1" applyBorder="1" applyAlignment="1">
      <alignment horizontal="center"/>
    </xf>
    <xf numFmtId="7" fontId="0" fillId="2" borderId="2" xfId="1" applyNumberFormat="1" applyFont="1" applyFill="1" applyBorder="1" applyAlignment="1">
      <alignment horizontal="center"/>
    </xf>
    <xf numFmtId="0" fontId="8" fillId="2" borderId="0" xfId="0" applyFont="1" applyFill="1" applyBorder="1" applyAlignment="1">
      <alignment horizontal="center" vertical="center"/>
    </xf>
    <xf numFmtId="0" fontId="8" fillId="2" borderId="21" xfId="0" applyFont="1" applyFill="1" applyBorder="1" applyAlignment="1">
      <alignment horizontal="center" vertical="center"/>
    </xf>
    <xf numFmtId="2" fontId="8" fillId="2" borderId="21" xfId="0" applyNumberFormat="1" applyFont="1" applyFill="1" applyBorder="1" applyAlignment="1">
      <alignment horizontal="center" vertical="center"/>
    </xf>
    <xf numFmtId="0" fontId="0" fillId="2" borderId="19" xfId="0" applyFont="1" applyFill="1" applyBorder="1" applyAlignment="1">
      <alignment horizontal="center"/>
    </xf>
    <xf numFmtId="2" fontId="0" fillId="2" borderId="19" xfId="0" applyNumberFormat="1" applyFont="1" applyFill="1" applyBorder="1" applyAlignment="1">
      <alignment horizontal="center"/>
    </xf>
    <xf numFmtId="9" fontId="3" fillId="2" borderId="19" xfId="2" applyNumberFormat="1" applyFont="1" applyFill="1" applyBorder="1" applyAlignment="1">
      <alignment horizontal="center"/>
    </xf>
    <xf numFmtId="0" fontId="5" fillId="2" borderId="5" xfId="0" applyFont="1" applyFill="1" applyBorder="1" applyAlignment="1">
      <alignment horizontal="center" vertical="center"/>
    </xf>
    <xf numFmtId="0" fontId="0" fillId="2" borderId="6" xfId="0" applyFill="1" applyBorder="1" applyAlignment="1">
      <alignment horizontal="center" vertical="center"/>
    </xf>
    <xf numFmtId="0" fontId="0" fillId="2" borderId="7" xfId="0" applyFill="1" applyBorder="1" applyAlignment="1">
      <alignment horizontal="center" vertical="center"/>
    </xf>
    <xf numFmtId="0" fontId="0" fillId="2" borderId="8" xfId="0" applyFill="1" applyBorder="1" applyAlignment="1">
      <alignment horizontal="center" vertical="center"/>
    </xf>
    <xf numFmtId="0" fontId="0" fillId="2" borderId="0" xfId="0" applyFill="1" applyBorder="1" applyAlignment="1">
      <alignment horizontal="center" vertical="center"/>
    </xf>
    <xf numFmtId="0" fontId="0" fillId="2" borderId="9" xfId="0" applyFill="1" applyBorder="1" applyAlignment="1">
      <alignment horizontal="center" vertical="center"/>
    </xf>
    <xf numFmtId="0" fontId="0" fillId="2" borderId="10" xfId="0" applyFill="1" applyBorder="1" applyAlignment="1">
      <alignment horizontal="center" vertical="center"/>
    </xf>
    <xf numFmtId="0" fontId="0" fillId="2" borderId="4" xfId="0" applyFill="1" applyBorder="1" applyAlignment="1">
      <alignment horizontal="center" vertical="center"/>
    </xf>
    <xf numFmtId="0" fontId="0" fillId="2" borderId="11" xfId="0" applyFill="1" applyBorder="1" applyAlignment="1">
      <alignment horizontal="center" vertical="center"/>
    </xf>
    <xf numFmtId="0" fontId="5" fillId="3" borderId="5" xfId="0" applyFont="1" applyFill="1" applyBorder="1" applyAlignment="1">
      <alignment horizontal="center" vertic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0" xfId="0" applyFill="1" applyBorder="1" applyAlignment="1">
      <alignment horizontal="center" vertical="center"/>
    </xf>
    <xf numFmtId="0" fontId="0" fillId="3" borderId="9" xfId="0" applyFill="1" applyBorder="1" applyAlignment="1">
      <alignment horizontal="center" vertical="center"/>
    </xf>
    <xf numFmtId="0" fontId="0" fillId="3" borderId="10" xfId="0" applyFill="1" applyBorder="1" applyAlignment="1">
      <alignment horizontal="center" vertical="center"/>
    </xf>
    <xf numFmtId="0" fontId="0" fillId="3" borderId="4" xfId="0" applyFill="1" applyBorder="1" applyAlignment="1">
      <alignment horizontal="center" vertical="center"/>
    </xf>
    <xf numFmtId="0" fontId="0" fillId="3" borderId="11" xfId="0" applyFill="1" applyBorder="1" applyAlignment="1">
      <alignment horizontal="center" vertical="center"/>
    </xf>
  </cellXfs>
  <cellStyles count="3">
    <cellStyle name="Currency" xfId="1" builtinId="4"/>
    <cellStyle name="Normal" xfId="0" builtinId="0"/>
    <cellStyle name="Percent" xfId="2" builtinId="5"/>
  </cellStyles>
  <dxfs count="45">
    <dxf>
      <border outline="0">
        <left style="thin">
          <color auto="1"/>
        </left>
        <right style="thin">
          <color auto="1"/>
        </right>
        <top style="thin">
          <color auto="1"/>
        </top>
        <bottom style="thin">
          <color auto="1"/>
        </bottom>
      </border>
    </dxf>
    <dxf>
      <font>
        <b/>
        <i val="0"/>
        <strike val="0"/>
        <condense val="0"/>
        <extend val="0"/>
        <outline val="0"/>
        <shadow val="0"/>
        <u val="none"/>
        <vertAlign val="baseline"/>
        <sz val="11"/>
        <color theme="0"/>
        <name val="Calibri"/>
        <family val="2"/>
        <scheme val="minor"/>
      </font>
      <numFmt numFmtId="11" formatCode="&quot;$&quot;#,##0.00_);\(&quot;$&quot;#,##0.00\)"/>
      <fill>
        <patternFill patternType="solid">
          <fgColor indexed="64"/>
          <bgColor theme="9" tint="-0.499984740745262"/>
        </patternFill>
      </fill>
      <alignment horizontal="center" vertical="bottom" textRotation="0"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1"/>
        <color theme="1"/>
        <name val="Calibri"/>
        <family val="2"/>
        <scheme val="minor"/>
      </font>
      <numFmt numFmtId="11" formatCode="&quot;$&quot;#,##0.00_);\(&quot;$&quot;#,##0.00\)"/>
      <fill>
        <patternFill patternType="solid">
          <fgColor indexed="64"/>
          <bgColor theme="7" tint="0.59999389629810485"/>
        </patternFill>
      </fill>
      <alignment horizontal="center" vertical="bottom"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1"/>
        <color theme="1"/>
        <name val="Calibri"/>
        <family val="2"/>
        <scheme val="minor"/>
      </font>
      <numFmt numFmtId="19" formatCode="m/d/yyyy"/>
      <fill>
        <patternFill patternType="solid">
          <fgColor indexed="64"/>
          <bgColor theme="7" tint="0.59999389629810485"/>
        </patternFill>
      </fill>
      <alignment horizontal="center" vertical="bottom"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1"/>
        <color theme="1"/>
        <name val="Calibri"/>
        <family val="2"/>
        <scheme val="minor"/>
      </font>
      <numFmt numFmtId="2" formatCode="0.00"/>
      <fill>
        <patternFill patternType="solid">
          <fgColor indexed="64"/>
          <bgColor theme="7" tint="0.59999389629810485"/>
        </patternFill>
      </fill>
      <alignment horizontal="center" vertical="bottom"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1"/>
        <color theme="1"/>
        <name val="Calibri"/>
        <family val="2"/>
        <scheme val="minor"/>
      </font>
      <numFmt numFmtId="30" formatCode="@"/>
      <fill>
        <patternFill patternType="solid">
          <fgColor indexed="64"/>
          <bgColor theme="7" tint="0.59999389629810485"/>
        </patternFill>
      </fill>
      <alignment horizontal="center" vertical="bottom"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center" vertical="bottom"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center" vertical="bottom" textRotation="0" wrapText="0" indent="0" justifyLastLine="0" shrinkToFit="0" readingOrder="0"/>
      <border diagonalUp="0" diagonalDown="0">
        <left/>
        <right/>
        <top style="thin">
          <color auto="1"/>
        </top>
        <bottom/>
        <vertical/>
        <horizontal/>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center" vertical="bottom" textRotation="0" wrapText="0" indent="0" justifyLastLine="0" shrinkToFit="0" readingOrder="0"/>
    </dxf>
    <dxf>
      <numFmt numFmtId="166" formatCode="&quot;$&quot;#,##0.00"/>
      <fill>
        <patternFill patternType="solid">
          <fgColor indexed="64"/>
          <bgColor theme="7" tint="0.59999389629810485"/>
        </patternFill>
      </fill>
      <alignment horizontal="center" vertical="bottom" textRotation="0" wrapText="0" indent="0" justifyLastLine="0" shrinkToFit="0" readingOrder="0"/>
      <border diagonalUp="0" diagonalDown="0" outline="0">
        <left style="thin">
          <color auto="1"/>
        </left>
        <right/>
        <top style="thin">
          <color auto="1"/>
        </top>
        <bottom/>
      </border>
    </dxf>
    <dxf>
      <numFmt numFmtId="166" formatCode="&quot;$&quot;#,##0.00"/>
      <fill>
        <patternFill patternType="solid">
          <fgColor indexed="64"/>
          <bgColor theme="7" tint="0.59999389629810485"/>
        </patternFill>
      </fill>
      <alignment horizontal="center" vertical="bottom" textRotation="0" wrapText="0" indent="0" justifyLastLine="0" shrinkToFit="0" readingOrder="0"/>
      <border diagonalUp="0" diagonalDown="0">
        <left style="thin">
          <color auto="1"/>
        </left>
        <right/>
        <top style="thin">
          <color auto="1"/>
        </top>
        <bottom style="thin">
          <color auto="1"/>
        </bottom>
        <vertical/>
        <horizontal/>
      </border>
    </dxf>
    <dxf>
      <numFmt numFmtId="166" formatCode="&quot;$&quot;#,##0.00"/>
      <fill>
        <patternFill patternType="solid">
          <fgColor indexed="64"/>
          <bgColor theme="7" tint="0.59999389629810485"/>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numFmt numFmtId="166" formatCode="&quot;$&quot;#,##0.00"/>
      <fill>
        <patternFill patternType="solid">
          <fgColor indexed="64"/>
          <bgColor theme="7" tint="0.59999389629810485"/>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6" formatCode="&quot;$&quot;#,##0.00"/>
      <fill>
        <patternFill patternType="solid">
          <fgColor indexed="64"/>
          <bgColor theme="7" tint="0.59999389629810485"/>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numFmt numFmtId="166" formatCode="&quot;$&quot;#,##0.00"/>
      <fill>
        <patternFill patternType="solid">
          <fgColor indexed="64"/>
          <bgColor theme="7" tint="0.59999389629810485"/>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numFmt numFmtId="166" formatCode="&quot;$&quot;#,##0.00"/>
      <fill>
        <patternFill patternType="solid">
          <fgColor indexed="64"/>
          <bgColor theme="7" tint="0.59999389629810485"/>
        </patternFill>
      </fill>
      <alignment horizontal="center" vertical="bottom" textRotation="0" wrapText="0" indent="0" justifyLastLine="0" shrinkToFit="0" readingOrder="0"/>
      <border diagonalUp="0" diagonalDown="0" outline="0">
        <left style="thin">
          <color auto="1"/>
        </left>
        <right style="thin">
          <color auto="1"/>
        </right>
        <top style="thin">
          <color auto="1"/>
        </top>
        <bottom/>
      </border>
    </dxf>
    <dxf>
      <numFmt numFmtId="166" formatCode="&quot;$&quot;#,##0.00"/>
      <fill>
        <patternFill patternType="solid">
          <fgColor indexed="64"/>
          <bgColor theme="7" tint="0.59999389629810485"/>
        </patternFill>
      </fill>
      <alignment horizontal="center"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diagonalUp="0" diagonalDown="0" outline="0">
        <left/>
        <right/>
        <top/>
        <bottom/>
      </border>
    </dxf>
    <dxf>
      <border diagonalUp="0" diagonalDown="0" outline="0">
        <left/>
        <right/>
        <top/>
        <bottom/>
      </border>
    </dxf>
    <dxf>
      <border diagonalUp="0" diagonalDown="0" outline="0">
        <left/>
        <right/>
        <top/>
        <bottom/>
      </border>
    </dxf>
    <dxf>
      <numFmt numFmtId="2" formatCode="0.00"/>
    </dxf>
    <dxf>
      <numFmt numFmtId="30" formatCode="@"/>
      <border diagonalUp="0" diagonalDown="0" outline="0">
        <left/>
        <right/>
        <top/>
        <bottom/>
      </border>
    </dxf>
    <dxf>
      <numFmt numFmtId="30" formatCode="@"/>
    </dxf>
    <dxf>
      <border diagonalUp="0" diagonalDown="0" outline="0">
        <left/>
        <right/>
        <top/>
        <bottom/>
      </border>
    </dxf>
    <dxf>
      <border diagonalUp="0" diagonalDown="0" outline="0">
        <left/>
        <right/>
        <top/>
        <bottom/>
      </border>
    </dxf>
    <dxf>
      <border outline="0">
        <top style="thin">
          <color auto="1"/>
        </top>
      </border>
    </dxf>
    <dxf>
      <border outline="0">
        <left style="thin">
          <color auto="1"/>
        </left>
        <right style="thin">
          <color auto="1"/>
        </right>
        <top style="thin">
          <color auto="1"/>
        </top>
        <bottom style="thin">
          <color auto="1"/>
        </bottom>
      </border>
    </dxf>
    <dxf>
      <fill>
        <patternFill patternType="solid">
          <fgColor indexed="64"/>
          <bgColor theme="7" tint="0.5999938962981048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0" indent="0" justifyLastLine="0" shrinkToFit="0" readingOrder="0"/>
      <border diagonalUp="0" diagonalDown="0" outline="0">
        <left style="thin">
          <color auto="1"/>
        </left>
        <right style="thin">
          <color auto="1"/>
        </right>
        <top/>
        <bottom/>
      </border>
    </dxf>
    <dxf>
      <font>
        <b val="0"/>
        <i val="0"/>
        <strike val="0"/>
        <condense val="0"/>
        <extend val="0"/>
        <outline val="0"/>
        <shadow val="0"/>
        <u val="none"/>
        <vertAlign val="baseline"/>
        <sz val="11"/>
        <color theme="1"/>
        <name val="Calibri"/>
        <family val="2"/>
        <scheme val="minor"/>
      </font>
      <numFmt numFmtId="166" formatCode="&quot;$&quot;#,##0.00"/>
      <fill>
        <patternFill patternType="solid">
          <fgColor indexed="64"/>
          <bgColor theme="7" tint="0.59999389629810485"/>
        </patternFill>
      </fill>
      <alignment horizontal="center" vertical="bottom"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1"/>
        <color theme="1"/>
        <name val="Calibri"/>
        <family val="2"/>
        <scheme val="minor"/>
      </font>
      <numFmt numFmtId="166" formatCode="&quot;$&quot;#,##0.00"/>
      <fill>
        <patternFill patternType="solid">
          <fgColor indexed="64"/>
          <bgColor theme="7" tint="0.59999389629810485"/>
        </patternFill>
      </fill>
      <alignment horizontal="center" vertical="bottom"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1"/>
        <color theme="1"/>
        <name val="Calibri"/>
        <family val="2"/>
        <scheme val="minor"/>
      </font>
      <numFmt numFmtId="13" formatCode="0%"/>
      <fill>
        <patternFill patternType="solid">
          <fgColor indexed="64"/>
          <bgColor theme="7" tint="0.59999389629810485"/>
        </patternFill>
      </fill>
      <alignment horizontal="center" vertical="bottom"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1"/>
        <color theme="1"/>
        <name val="Calibri"/>
        <family val="2"/>
        <scheme val="minor"/>
      </font>
      <numFmt numFmtId="166" formatCode="&quot;$&quot;#,##0.00"/>
      <fill>
        <patternFill patternType="solid">
          <fgColor indexed="64"/>
          <bgColor theme="7" tint="0.59999389629810485"/>
        </patternFill>
      </fill>
      <alignment horizontal="center" vertical="bottom"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1"/>
        <color theme="1"/>
        <name val="Calibri"/>
        <family val="2"/>
        <scheme val="minor"/>
      </font>
      <numFmt numFmtId="166" formatCode="&quot;$&quot;#,##0.00"/>
      <fill>
        <patternFill patternType="solid">
          <fgColor indexed="64"/>
          <bgColor theme="7" tint="0.59999389629810485"/>
        </patternFill>
      </fill>
      <alignment horizontal="center" vertical="bottom"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1"/>
        <color theme="1"/>
        <name val="Calibri"/>
        <family val="2"/>
        <scheme val="minor"/>
      </font>
      <numFmt numFmtId="19" formatCode="m/d/yyyy"/>
      <fill>
        <patternFill patternType="solid">
          <fgColor indexed="64"/>
          <bgColor theme="7" tint="0.59999389629810485"/>
        </patternFill>
      </fill>
      <alignment horizontal="center" vertical="bottom"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1"/>
        <color theme="1"/>
        <name val="Calibri"/>
        <family val="2"/>
        <scheme val="minor"/>
      </font>
      <numFmt numFmtId="2" formatCode="0.00"/>
      <fill>
        <patternFill patternType="solid">
          <fgColor indexed="64"/>
          <bgColor theme="7" tint="0.59999389629810485"/>
        </patternFill>
      </fill>
      <alignment horizontal="center" vertical="bottom"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center" vertical="bottom"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center" vertical="bottom" textRotation="0" wrapText="0" indent="0" justifyLastLine="0" shrinkToFit="0" readingOrder="0"/>
      <border diagonalUp="0" diagonalDown="0">
        <left/>
        <right/>
        <top style="thin">
          <color auto="1"/>
        </top>
        <bottom/>
        <vertical/>
        <horizontal/>
      </border>
    </dxf>
    <dxf>
      <border outline="0">
        <left style="thin">
          <color auto="1"/>
        </left>
        <right style="thin">
          <color auto="1"/>
        </right>
        <top style="thin">
          <color auto="1"/>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4"/>
        <color theme="0"/>
        <name val="Calibri"/>
        <family val="2"/>
        <scheme val="minor"/>
      </font>
      <fill>
        <patternFill patternType="solid">
          <fgColor indexed="64"/>
          <bgColor theme="9" tint="0.39997558519241921"/>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Structure" Target="richData/rdrichvaluestructure.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06/relationships/rdRichValue" Target="richData/rdrichvalue.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SupportingPropertyBag" Target="richData/rdsupportingpropertybag.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17/06/relationships/rdSupportingPropertyBagStructure" Target="richData/rdsupportingpropertybagstructure.xml"/><Relationship Id="rId10" Type="http://schemas.openxmlformats.org/officeDocument/2006/relationships/sharedStrings" Target="sharedStrings.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ichStyles" Target="richData/richStyles.xml"/></Relationships>
</file>

<file path=xl/drawings/drawing1.xml><?xml version="1.0" encoding="utf-8"?>
<xdr:wsDr xmlns:xdr="http://schemas.openxmlformats.org/drawingml/2006/spreadsheetDrawing" xmlns:a="http://schemas.openxmlformats.org/drawingml/2006/main">
  <xdr:twoCellAnchor>
    <xdr:from>
      <xdr:col>6</xdr:col>
      <xdr:colOff>9525</xdr:colOff>
      <xdr:row>12</xdr:row>
      <xdr:rowOff>161925</xdr:rowOff>
    </xdr:from>
    <xdr:to>
      <xdr:col>7</xdr:col>
      <xdr:colOff>85725</xdr:colOff>
      <xdr:row>15</xdr:row>
      <xdr:rowOff>57150</xdr:rowOff>
    </xdr:to>
    <xdr:sp macro="[0]!AddData" textlink="">
      <xdr:nvSpPr>
        <xdr:cNvPr id="6" name="Rectangle: Rounded Corners 5">
          <a:extLst>
            <a:ext uri="{FF2B5EF4-FFF2-40B4-BE49-F238E27FC236}">
              <a16:creationId xmlns:a16="http://schemas.microsoft.com/office/drawing/2014/main" id="{47E139D1-211A-497C-B1A6-4EF9278B29B8}"/>
            </a:ext>
          </a:extLst>
        </xdr:cNvPr>
        <xdr:cNvSpPr/>
      </xdr:nvSpPr>
      <xdr:spPr>
        <a:xfrm>
          <a:off x="4857750" y="3143250"/>
          <a:ext cx="1323975" cy="466725"/>
        </a:xfrm>
        <a:prstGeom prst="roundRect">
          <a:avLst/>
        </a:prstGeom>
        <a:solidFill>
          <a:schemeClr val="accent6">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solidFill>
            </a:rPr>
            <a:t>ADD</a:t>
          </a:r>
          <a:r>
            <a:rPr lang="en-US" sz="1200" b="1" baseline="0">
              <a:solidFill>
                <a:schemeClr val="tx1"/>
              </a:solidFill>
            </a:rPr>
            <a:t> RECORD</a:t>
          </a:r>
          <a:endParaRPr lang="en-US" sz="1200" b="1">
            <a:solidFill>
              <a:schemeClr val="tx1"/>
            </a:solidFill>
          </a:endParaRPr>
        </a:p>
      </xdr:txBody>
    </xdr:sp>
    <xdr:clientData/>
  </xdr:twoCellAnchor>
  <xdr:twoCellAnchor>
    <xdr:from>
      <xdr:col>7</xdr:col>
      <xdr:colOff>533400</xdr:colOff>
      <xdr:row>12</xdr:row>
      <xdr:rowOff>161925</xdr:rowOff>
    </xdr:from>
    <xdr:to>
      <xdr:col>8</xdr:col>
      <xdr:colOff>0</xdr:colOff>
      <xdr:row>15</xdr:row>
      <xdr:rowOff>57150</xdr:rowOff>
    </xdr:to>
    <xdr:sp macro="[0]!ClearContents1" textlink="">
      <xdr:nvSpPr>
        <xdr:cNvPr id="16" name="Rectangle: Rounded Corners 15">
          <a:extLst>
            <a:ext uri="{FF2B5EF4-FFF2-40B4-BE49-F238E27FC236}">
              <a16:creationId xmlns:a16="http://schemas.microsoft.com/office/drawing/2014/main" id="{78A62B90-0A31-42EA-A652-85AEF423F972}"/>
            </a:ext>
          </a:extLst>
        </xdr:cNvPr>
        <xdr:cNvSpPr/>
      </xdr:nvSpPr>
      <xdr:spPr>
        <a:xfrm>
          <a:off x="6629400" y="3143250"/>
          <a:ext cx="1323975" cy="466725"/>
        </a:xfrm>
        <a:prstGeom prst="roundRect">
          <a:avLst/>
        </a:prstGeom>
        <a:solidFill>
          <a:schemeClr val="accent6">
            <a:lumMod val="60000"/>
            <a:lumOff val="40000"/>
          </a:schemeClr>
        </a:solidFill>
        <a:ln w="12700" cap="flat" cmpd="sng" algn="ctr">
          <a:solidFill>
            <a:srgbClr val="4472C4">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Calibri" panose="020F0502020204030204"/>
              <a:ea typeface="+mn-ea"/>
              <a:cs typeface="+mn-cs"/>
            </a:rPr>
            <a:t>CLEAR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9525</xdr:colOff>
      <xdr:row>12</xdr:row>
      <xdr:rowOff>161925</xdr:rowOff>
    </xdr:from>
    <xdr:to>
      <xdr:col>7</xdr:col>
      <xdr:colOff>85725</xdr:colOff>
      <xdr:row>15</xdr:row>
      <xdr:rowOff>57150</xdr:rowOff>
    </xdr:to>
    <xdr:sp macro="[0]!SubData" textlink="">
      <xdr:nvSpPr>
        <xdr:cNvPr id="2" name="Rectangle: Rounded Corners 1">
          <a:extLst>
            <a:ext uri="{FF2B5EF4-FFF2-40B4-BE49-F238E27FC236}">
              <a16:creationId xmlns:a16="http://schemas.microsoft.com/office/drawing/2014/main" id="{1B44B968-BAF9-4435-BD84-79A1C17D0B46}"/>
            </a:ext>
          </a:extLst>
        </xdr:cNvPr>
        <xdr:cNvSpPr/>
      </xdr:nvSpPr>
      <xdr:spPr>
        <a:xfrm>
          <a:off x="4857750" y="3257550"/>
          <a:ext cx="1371600" cy="466725"/>
        </a:xfrm>
        <a:prstGeom prst="roundRec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solidFill>
            </a:rPr>
            <a:t>ADD</a:t>
          </a:r>
          <a:r>
            <a:rPr lang="en-US" sz="1200" b="1" baseline="0">
              <a:solidFill>
                <a:schemeClr val="tx1"/>
              </a:solidFill>
            </a:rPr>
            <a:t> RECORD</a:t>
          </a:r>
          <a:endParaRPr lang="en-US" sz="1200" b="1">
            <a:solidFill>
              <a:schemeClr val="tx1"/>
            </a:solidFill>
          </a:endParaRPr>
        </a:p>
      </xdr:txBody>
    </xdr:sp>
    <xdr:clientData/>
  </xdr:twoCellAnchor>
  <xdr:twoCellAnchor>
    <xdr:from>
      <xdr:col>7</xdr:col>
      <xdr:colOff>533400</xdr:colOff>
      <xdr:row>12</xdr:row>
      <xdr:rowOff>161925</xdr:rowOff>
    </xdr:from>
    <xdr:to>
      <xdr:col>8</xdr:col>
      <xdr:colOff>0</xdr:colOff>
      <xdr:row>15</xdr:row>
      <xdr:rowOff>57150</xdr:rowOff>
    </xdr:to>
    <xdr:sp macro="[0]!ClearContents2" textlink="">
      <xdr:nvSpPr>
        <xdr:cNvPr id="3" name="Rectangle: Rounded Corners 2">
          <a:extLst>
            <a:ext uri="{FF2B5EF4-FFF2-40B4-BE49-F238E27FC236}">
              <a16:creationId xmlns:a16="http://schemas.microsoft.com/office/drawing/2014/main" id="{3F5DD185-11E0-40FD-9877-D6F4409503E4}"/>
            </a:ext>
          </a:extLst>
        </xdr:cNvPr>
        <xdr:cNvSpPr/>
      </xdr:nvSpPr>
      <xdr:spPr>
        <a:xfrm>
          <a:off x="6677025" y="3257550"/>
          <a:ext cx="1323975" cy="466725"/>
        </a:xfrm>
        <a:prstGeom prst="roundRect">
          <a:avLst/>
        </a:prstGeom>
        <a:solidFill>
          <a:schemeClr val="accent4">
            <a:lumMod val="40000"/>
            <a:lumOff val="60000"/>
          </a:schemeClr>
        </a:solidFill>
        <a:ln w="12700" cap="flat" cmpd="sng" algn="ctr">
          <a:solidFill>
            <a:srgbClr val="4472C4">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schemeClr val="tx1"/>
              </a:solidFill>
              <a:effectLst/>
              <a:uLnTx/>
              <a:uFillTx/>
              <a:latin typeface="Calibri" panose="020F0502020204030204"/>
              <a:ea typeface="+mn-ea"/>
              <a:cs typeface="+mn-cs"/>
            </a:rPr>
            <a:t>CLEAR DATA</a:t>
          </a:r>
        </a:p>
      </xdr:txBody>
    </xdr:sp>
    <xdr:clientData/>
  </xdr:twoCellAnchor>
</xdr:wsDr>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Flags>
    </type>
  </types>
</rvTypesInfo>
</file>

<file path=xl/richData/rdrichvalue.xml><?xml version="1.0" encoding="utf-8"?>
<rvData xmlns="http://schemas.microsoft.com/office/spreadsheetml/2017/richdata" count="21">
  <rv s="0">
    <v>http://en.wikipedia.org/wiki/Public_domain</v>
    <v>Public domain</v>
  </rv>
  <rv s="0">
    <v>http://zh.wikipedia.org/wiki/Facebook</v>
    <v>Wikipedia</v>
  </rv>
  <rv s="1">
    <v>0</v>
    <v>1</v>
  </rv>
  <rv s="2">
    <v>Powered by Refinitiv</v>
    <v>6</v>
    <v>https://www.bing.com/th?id=AMMS_8ddf76a14a2e3ad3ba62b46d49a75a74&amp;qlt=95</v>
    <v>2</v>
    <v>https://www.bing.com/images/search?form=xlimg&amp;q=facebook</v>
    <v>Image of Facebook Inc</v>
    <v/>
  </rv>
  <rv s="0">
    <v>https://www.bing.com/financeapi/forcetrigger?t=a1slm7&amp;q=XNAS%3aFB&amp;form=skydnc</v>
    <v>Learn more on Bing</v>
  </rv>
  <rv s="3">
    <v>en-US</v>
    <v>a1slm7</v>
    <v>268435456</v>
    <v>268435457</v>
    <v>0</v>
    <v>Powered by Refinitiv</v>
    <v>0</v>
    <v>Facebook Inc (XNAS:FB)</v>
    <v>3</v>
    <v>4</v>
    <v>Finance</v>
    <v>5</v>
    <v>240.9</v>
    <v>137.10059999999999</v>
    <v>1.1990000000000001</v>
    <v>4.4800000000000004</v>
    <v>-2.47E-3</v>
    <v>1.9798E-2</v>
    <v>-0.56999999999999995</v>
    <v>USD</v>
    <v>Facebook, Inc. is focused on building products that enable people to connect and share through mobile devices, personal computers and other surfaces. The Company's products include Facebook, Instagram, Messenger, WhatsApp and Oculus. Facebook enables people to connect, share, discover and communicate with each other on mobile devices and personal computers. Instagram enables people to take photos or videos, customize them with filter effects, and share them with friends and followers in a photo feed or send them directly to friends. Messenger allows communicating with people and businesses alike across a range of platforms and devices. WhatsApp Messenger is a messaging application that is used by people around the world and is available on a range of mobile platforms. Its Oculus virtual reality technology and content platform offers products that allow people to enter an interactive environment to play games, consume content and connect with others.</v>
    <v>48268</v>
    <v>Nasdaq Stock Market</v>
    <v>XNAS</v>
    <v>XNAS</v>
    <v>1601 Willow Rd, MENLO PARK, CA, 94025-1452 US</v>
    <v>231.35</v>
    <v>3</v>
    <v>Software &amp; IT Services</v>
    <v>Stock</v>
    <v>43987.99995436328</v>
    <v>4</v>
    <v>225.31049999999999</v>
    <v>644723600000</v>
    <v>Facebook Inc</v>
    <v>Facebook Inc</v>
    <v>226.71</v>
    <v>32.555500000000002</v>
    <v>226.29</v>
    <v>230.77</v>
    <v>230.2</v>
    <v>2849103000</v>
    <v>FB</v>
    <v>Facebook Inc (XNAS:FB)</v>
    <v>16750438</v>
    <v>25097259</v>
    <v>2004</v>
  </rv>
  <rv s="4">
    <v>5</v>
  </rv>
  <rv s="0">
    <v>https://www.bing.com/financeapi/forcetrigger?t=a24t1h&amp;q=ARCX%3aUCO&amp;form=skydnc</v>
    <v>Learn more on Bing</v>
  </rv>
  <rv s="5">
    <v>en-US</v>
    <v>a24t1h</v>
    <v>268435456</v>
    <v>268435459</v>
    <v>1</v>
    <v>Powered by Refinitiv</v>
    <v>7</v>
    <v>ProShares Ultra Bloomberg Crude Oil (ARCX:UCO)</v>
    <v>8</v>
    <v>9</v>
    <v>Finance</v>
    <v>10</v>
    <v>553.25</v>
    <v>11</v>
    <v>2.6932</v>
    <v>0.1099</v>
    <v>4.3940000000000003E-3</v>
    <v>USD</v>
    <v>NYSE Arca</v>
    <v>ARCX</v>
    <v>9.7999999999999997E-3</v>
    <v>26.31</v>
    <v>ETF</v>
    <v>43994.612638888888</v>
    <v>7</v>
    <v>24.86</v>
    <v>1584050778.3</v>
    <v>ProShares Ultra Bloomberg Crude Oil</v>
    <v>25.94</v>
    <v>25.01</v>
    <v>25.119900000000001</v>
    <v>UCO</v>
    <v>ProShares Ultra Bloomberg Crude Oil (ARCX:UCO)</v>
    <v>4316785</v>
    <v>16557737</v>
  </rv>
  <rv s="4">
    <v>8</v>
  </rv>
  <rv s="0">
    <v>http://creativecommons.org/licenses/by-sa/3.0/</v>
    <v>CC-BY-SA-3.0</v>
  </rv>
  <rv s="0">
    <v>http://ru.wikipedia.org/wiki/Royal_Dutch_Shell</v>
    <v>Wikipedia</v>
  </rv>
  <rv s="1">
    <v>10</v>
    <v>11</v>
  </rv>
  <rv s="2">
    <v>Powered by Refinitiv</v>
    <v>6</v>
    <v>https://www.bing.com/th?id=AMMS_982b67ee8686548274ef55ed627e1e1f&amp;qlt=95</v>
    <v>12</v>
    <v>https://www.bing.com/images/search?form=xlimg&amp;q=royal+dutch+shell</v>
    <v>Image of Royal Dutch Shell PLC</v>
    <v/>
  </rv>
  <rv s="0">
    <v>https://www.bing.com/financeapi/forcetrigger?t=a21t7w&amp;q=XNYS%3aRDS.B&amp;form=skydnc</v>
    <v>Learn more on Bing</v>
  </rv>
  <rv s="6">
    <v>en-US</v>
    <v>a21t7w</v>
    <v>268435456</v>
    <v>268435457</v>
    <v>0</v>
    <v>Powered by Refinitiv</v>
    <v>11</v>
    <v>Royal Dutch Shell PLC (XNYS:RDS.B)</v>
    <v>3</v>
    <v>12</v>
    <v>Finance</v>
    <v>13</v>
    <v>67.45</v>
    <v>19.190000000000001</v>
    <v>0.80889999999999995</v>
    <v>1.47</v>
    <v>4.6799999999999994E-2</v>
    <v>USD</v>
    <v>The Royal Dutch Shell plc explores for crude oil and natural gas around the world, both in conventional fields and from sources, such as tight rock, shale and coal formations. The Company's segments include Integrated Gas, Upstream, Downstream and Corporate. The Integrated Gas segment is engaged in the liquefaction and transportation of gas and the conversion of natural gas to liquids to provide fuels and other products, as well as projects with an integrated activity, ranging from producing to commercializing gas. The Upstream segment includes the operations of Upstream, which is engaged in the exploration for and extraction of crude oil, natural gas and natural gas liquids, and the marketing and transportation of oil and gas, and Oil Sands, which is engaged in the extraction of bitumen from mined oil sands and conversion into synthetic crude oil. The Downstream segment is engaged in oil products and chemicals manufacturing, and marketing activities.</v>
    <v>83000</v>
    <v>New York Stock Exchange</v>
    <v>XNYS</v>
    <v>XNYS</v>
    <v>Carel van Bylandtlaan 30, 'S-GRAVENHAGE, ZUID-HOLLAND, 2596 HR NL</v>
    <v>33.449199999999998</v>
    <v>13</v>
    <v>Oil &amp; Gas</v>
    <v>Stock</v>
    <v>43994.613459027343</v>
    <v>14</v>
    <v>32.72</v>
    <v>138728200000</v>
    <v>Royal Dutch Shell PLC</v>
    <v>Royal Dutch Shell PLC</v>
    <v>33.130000000000003</v>
    <v>0</v>
    <v>31.41</v>
    <v>32.880000000000003</v>
    <v>3903712000</v>
    <v>RDS.B</v>
    <v>Royal Dutch Shell PLC (XNYS:RDS.B)</v>
    <v>1422046</v>
    <v>5089538</v>
    <v>2002</v>
  </rv>
  <rv s="4">
    <v>15</v>
  </rv>
  <rv s="5">
    <v>en-US</v>
    <v>a24t1h</v>
    <v>268435456</v>
    <v>268435459</v>
    <v>1</v>
    <v>Powered by Refinitiv</v>
    <v>7</v>
    <v>ProShares Ultra Bloomberg Crude Oil (ARCX:UCO)</v>
    <v>8</v>
    <v>9</v>
    <v>Finance</v>
    <v>10</v>
    <v>553.25</v>
    <v>11</v>
    <v>2.6932</v>
    <v>0.18</v>
    <v>7.1970000000000003E-3</v>
    <v>USD</v>
    <v>NYSE Arca</v>
    <v>ARCX</v>
    <v>9.7999999999999997E-3</v>
    <v>26.31</v>
    <v>ETF</v>
    <v>43994.616748876564</v>
    <v>7</v>
    <v>24.86</v>
    <v>1584050778.3</v>
    <v>ProShares Ultra Bloomberg Crude Oil</v>
    <v>25.94</v>
    <v>25.01</v>
    <v>25.19</v>
    <v>UCO</v>
    <v>ProShares Ultra Bloomberg Crude Oil (ARCX:UCO)</v>
    <v>4612144</v>
    <v>16557737</v>
  </rv>
  <rv s="4">
    <v>17</v>
  </rv>
  <rv s="6">
    <v>en-US</v>
    <v>a21t7w</v>
    <v>268435456</v>
    <v>268435457</v>
    <v>0</v>
    <v>Powered by Refinitiv</v>
    <v>11</v>
    <v>Royal Dutch Shell PLC (XNYS:RDS.B)</v>
    <v>3</v>
    <v>12</v>
    <v>Finance</v>
    <v>13</v>
    <v>67.45</v>
    <v>19.190000000000001</v>
    <v>0.80889999999999995</v>
    <v>1.55</v>
    <v>4.9347000000000002E-2</v>
    <v>USD</v>
    <v>The Royal Dutch Shell plc explores for crude oil and natural gas around the world, both in conventional fields and from sources, such as tight rock, shale and coal formations. The Company's segments include Integrated Gas, Upstream, Downstream and Corporate. The Integrated Gas segment is engaged in the liquefaction and transportation of gas and the conversion of natural gas to liquids to provide fuels and other products, as well as projects with an integrated activity, ranging from producing to commercializing gas. The Upstream segment includes the operations of Upstream, which is engaged in the exploration for and extraction of crude oil, natural gas and natural gas liquids, and the marketing and transportation of oil and gas, and Oil Sands, which is engaged in the extraction of bitumen from mined oil sands and conversion into synthetic crude oil. The Downstream segment is engaged in oil products and chemicals manufacturing, and marketing activities.</v>
    <v>83000</v>
    <v>New York Stock Exchange</v>
    <v>XNYS</v>
    <v>XNYS</v>
    <v>Carel van Bylandtlaan 30, 'S-GRAVENHAGE, ZUID-HOLLAND, 2596 HR NL</v>
    <v>33.449199999999998</v>
    <v>13</v>
    <v>Oil &amp; Gas</v>
    <v>Stock</v>
    <v>43994.616215277776</v>
    <v>14</v>
    <v>32.72</v>
    <v>138728200000</v>
    <v>Royal Dutch Shell PLC</v>
    <v>Royal Dutch Shell PLC</v>
    <v>33.130000000000003</v>
    <v>0</v>
    <v>31.41</v>
    <v>32.96</v>
    <v>3903712000</v>
    <v>RDS.B</v>
    <v>Royal Dutch Shell PLC (XNYS:RDS.B)</v>
    <v>1474216</v>
    <v>5089538</v>
    <v>2002</v>
  </rv>
  <rv s="4">
    <v>19</v>
  </rv>
</rvData>
</file>

<file path=xl/richData/rdrichvaluestructure.xml><?xml version="1.0" encoding="utf-8"?>
<rvStructures xmlns="http://schemas.microsoft.com/office/spreadsheetml/2017/richdata" count="7">
  <s t="_hyperlink">
    <k n="Address" t="s"/>
    <k n="Text" t="s"/>
  </s>
  <s t="_sourceattribution">
    <k n="License" t="r"/>
    <k n="Source" t="r"/>
  </s>
  <s t="_imageurl">
    <k n="%ProviderInfo" t="s"/>
    <k n="_Flags" t="spb"/>
    <k n="Address" t="s"/>
    <k n="Attribution" t="r"/>
    <k n="More Images Address" t="s"/>
    <k n="Text" t="s"/>
    <k n="Blip Identifier" t="s"/>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k n="Volume average"/>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3">
    <a count="47">
      <v t="s">%EntityServiceId</v>
      <v t="s">_Format</v>
      <v t="s">%EntitySubDomainId</v>
      <v t="s">%EntityCulture</v>
      <v t="s">%IsRefreshable</v>
      <v t="s">%EntityId</v>
      <v t="s">_Icon</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v t="s">_Display</v>
    </a>
    <a count="35">
      <v t="s">%EntityServiceId</v>
      <v t="s">_Format</v>
      <v t="s">%EntitySubDomainId</v>
      <v t="s">%EntityCulture</v>
      <v t="s">%IsRefreshable</v>
      <v t="s">%EntityId</v>
      <v t="s">_Icon</v>
      <v t="s">Name</v>
      <v t="s">_SubLabel</v>
      <v t="s">Price</v>
      <v t="s">Exchange</v>
      <v t="s">Last trade time</v>
      <v t="s">Ticker symbol</v>
      <v t="s">Exchange abbreviation</v>
      <v t="s">Change</v>
      <v t="s">Expense ratio</v>
      <v t="s">Change (%)</v>
      <v t="s">Currency</v>
      <v t="s">Previous close</v>
      <v t="s">Open</v>
      <v t="s">High</v>
      <v t="s">Low</v>
      <v t="s">52 week high</v>
      <v t="s">52 week low</v>
      <v t="s">Volume</v>
      <v t="s">Volume average</v>
      <v t="s">Market cap</v>
      <v t="s">Beta</v>
      <v t="s">Instrument type</v>
      <v t="s">_Flags</v>
      <v t="s">UniqueName</v>
      <v t="s">_DisplayString</v>
      <v t="s">LearnMoreOnLink</v>
      <v t="s">%ProviderInfo</v>
      <v t="s">_Display</v>
    </a>
    <a count="44">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v t="s">_Display</v>
    </a>
  </spbArrays>
  <spbData count="14">
    <spb s="0">
      <v>0</v>
    </spb>
    <spb s="1">
      <v>0</v>
      <v>0</v>
    </spb>
    <spb s="2">
      <v>0</v>
      <v>0</v>
      <v>0</v>
    </spb>
    <spb s="3">
      <v>1</v>
      <v>2</v>
      <v>2</v>
      <v>2</v>
    </spb>
    <spb s="4">
      <v>1</v>
      <v>2</v>
      <v>2</v>
      <v>1</v>
      <v>3</v>
      <v>1</v>
      <v>4</v>
      <v>1</v>
      <v>1</v>
      <v>5</v>
      <v>5</v>
      <v>6</v>
      <v>7</v>
      <v>1</v>
      <v>1</v>
      <v>1</v>
      <v>5</v>
      <v>8</v>
      <v>9</v>
      <v>10</v>
      <v>11</v>
      <v>10</v>
      <v>5</v>
      <v>1</v>
      <v>1</v>
      <v>6</v>
    </spb>
    <spb s="5">
      <v>at close</v>
      <v>from previous close</v>
      <v>from previous close</v>
      <v>Source: Nasdaq</v>
      <v>GMT</v>
      <v>Delayed 15 minutes</v>
      <v>from close</v>
      <v>from close</v>
    </spb>
    <spb s="6">
      <v>2</v>
    </spb>
    <spb s="0">
      <v>1</v>
    </spb>
    <spb s="7">
      <v>2</v>
      <v>2</v>
    </spb>
    <spb s="8">
      <v>1</v>
      <v>2</v>
      <v>1</v>
      <v>3</v>
      <v>1</v>
      <v>1</v>
      <v>1</v>
      <v>5</v>
      <v>6</v>
      <v>7</v>
      <v>1</v>
      <v>1</v>
      <v>6</v>
      <v>1</v>
      <v>5</v>
      <v>8</v>
      <v>9</v>
      <v>10</v>
      <v>10</v>
    </spb>
    <spb s="9">
      <v>Real-Time Nasdaq Last Sale</v>
      <v>from previous close</v>
      <v>Source: Nasdaq Last Sale</v>
      <v>from previous close</v>
      <v>GMT</v>
    </spb>
    <spb s="0">
      <v>2</v>
    </spb>
    <spb s="10">
      <v>1</v>
      <v>2</v>
      <v>2</v>
      <v>1</v>
      <v>3</v>
      <v>1</v>
      <v>4</v>
      <v>1</v>
      <v>1</v>
      <v>5</v>
      <v>5</v>
      <v>6</v>
      <v>7</v>
      <v>1</v>
      <v>1</v>
      <v>1</v>
      <v>5</v>
      <v>8</v>
      <v>9</v>
      <v>10</v>
      <v>11</v>
      <v>10</v>
      <v>5</v>
    </spb>
    <spb s="11">
      <v>Real-Time Nasdaq Last Sale</v>
      <v>from previous close</v>
      <v>from previous close</v>
      <v>Source: Nasdaq Last Sale</v>
      <v>GMT</v>
    </spb>
  </spbData>
</supportingPropertyBags>
</file>

<file path=xl/richData/rdsupportingpropertybagstructure.xml><?xml version="1.0" encoding="utf-8"?>
<spbStructures xmlns="http://schemas.microsoft.com/office/spreadsheetml/2017/richdata2" count="12">
  <s>
    <k n="^Order" t="spba"/>
  </s>
  <s>
    <k n="ShowInDotNotation" t="b"/>
    <k n="ShowInAutoComplete" t="b"/>
  </s>
  <s>
    <k n="ShowInCardView" t="b"/>
    <k n="ShowInDotNotation" t="b"/>
    <k n="ShowInAutoComplete" t="b"/>
  </s>
  <s>
    <k n="Image" t="spb"/>
    <k n="ExchangeID" t="spb"/>
    <k n="UniqueName" t="spb"/>
    <k n="%ProviderInfo" t="spb"/>
  </s>
  <s>
    <k n="Low" t="i"/>
    <k n="P/E" t="i"/>
    <k n="Beta" t="i"/>
    <k n="High" t="i"/>
    <k n="Name" t="i"/>
    <k n="Open" t="i"/>
    <k n="Image" t="i"/>
    <k n="Price" t="i"/>
    <k n="Change" t="i"/>
    <k n="Volume" t="i"/>
    <k n="Employees" t="i"/>
    <k n="Change (%)" t="i"/>
    <k n="Market cap" t="i"/>
    <k n="52 week low" t="i"/>
    <k n="52 week high" t="i"/>
    <k n="Previous close" t="i"/>
    <k n="Volume average" t="i"/>
    <k n="_DisplayString" t="i"/>
    <k n="Last trade time" t="i"/>
    <k n="%EntityServiceId" t="i"/>
    <k n="Year incorporated" t="i"/>
    <k n="%EntitySubDomain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ProviderInfo" t="spb"/>
  </s>
  <s>
    <k n="UniqueName" t="spb"/>
    <k n="%ProviderInfo" t="spb"/>
  </s>
  <s>
    <k n="Low" t="i"/>
    <k n="Beta" t="i"/>
    <k n="High" t="i"/>
    <k n="Name" t="i"/>
    <k n="Open" t="i"/>
    <k n="Price" t="i"/>
    <k n="Change" t="i"/>
    <k n="Volume" t="i"/>
    <k n="Change (%)" t="i"/>
    <k n="Market cap" t="i"/>
    <k n="52 week low" t="i"/>
    <k n="52 week high" t="i"/>
    <k n="Expense ratio" t="i"/>
    <k n="Previous close" t="i"/>
    <k n="Volume average" t="i"/>
    <k n="_DisplayString" t="i"/>
    <k n="Last trade time" t="i"/>
    <k n="%EntityServiceId" t="i"/>
    <k n="%EntitySubDomainId" t="i"/>
  </s>
  <s>
    <k n="Price" t="s"/>
    <k n="Change" t="s"/>
    <k n="Exchange" t="s"/>
    <k n="Change (%)" t="s"/>
    <k n="Last trade time" t="s"/>
  </s>
  <s>
    <k n="Low" t="i"/>
    <k n="P/E" t="i"/>
    <k n="Beta" t="i"/>
    <k n="High" t="i"/>
    <k n="Name" t="i"/>
    <k n="Open" t="i"/>
    <k n="Image" t="i"/>
    <k n="Price" t="i"/>
    <k n="Change" t="i"/>
    <k n="Volume" t="i"/>
    <k n="Employees" t="i"/>
    <k n="Change (%)" t="i"/>
    <k n="Market cap" t="i"/>
    <k n="52 week low" t="i"/>
    <k n="52 week high" t="i"/>
    <k n="Previous close" t="i"/>
    <k n="Volume average" t="i"/>
    <k n="_DisplayString" t="i"/>
    <k n="Last trade time" t="i"/>
    <k n="%EntityServiceId" t="i"/>
    <k n="Year incorporated" t="i"/>
    <k n="%EntitySubDomainId" t="i"/>
    <k n="Shares outstanding" t="i"/>
  </s>
  <s>
    <k n="Price" t="s"/>
    <k n="Change" t="s"/>
    <k n="Change (%)" t="s"/>
    <k n="ExchangeID"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165" formatCode="_([$$-409]* #,##0.00_);_([$$-409]* \(#,##0.00\);_([$$-409]* &quot;-&quot;??_);_(@_)"/>
    </x:dxf>
    <x:dxf>
      <x:numFmt numFmtId="4" formatCode="#,##0.00"/>
    </x:dxf>
    <x:dxf>
      <x:numFmt numFmtId="3" formatCode="#,##0"/>
    </x:dxf>
    <x:dxf>
      <x:numFmt numFmtId="14" formatCode="0.00%"/>
    </x:dxf>
    <x:dxf>
      <x:numFmt numFmtId="164" formatCode="_([$$-409]* #,##0_);_([$$-409]* \(#,##0\);_([$$-409]* &quot;-&quot;_);_(@_)"/>
    </x:dxf>
    <x:dxf>
      <x:numFmt numFmtId="27" formatCode="m/d/yyyy\ h:mm"/>
    </x:dxf>
    <x:dxf>
      <x:numFmt numFmtId="2" formatCode="0.00"/>
    </x:dxf>
    <x:dxf>
      <x:numFmt numFmtId="1" formatCode="0"/>
    </x:dxf>
  </dxfs>
  <richProperties>
    <rPr n="IsTitleField" t="b"/>
    <rPr n="IsHeroField" t="b"/>
    <rPr n="ShouldShowInCell" t="b"/>
  </richProperties>
  <richStyles>
    <rSty dxfid="0"/>
    <rSty dxfid="1"/>
    <rSty>
      <rpv i="0">1</rpv>
    </rSty>
    <rSty>
      <rpv i="1">1</rpv>
    </rSty>
    <rSty dxfid="2"/>
    <rSty dxfid="3"/>
    <rSty dxfid="4"/>
    <rSty>
      <rpv i="2">1</rpv>
    </rSty>
    <rSty dxfid="5"/>
    <rSty dxfid="6"/>
    <rSty dxfid="7"/>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2F0343E-B064-46B1-9390-3DD4DE5BAD7C}" name="Table3" displayName="Table3" ref="A1:K5" totalsRowShown="0" headerRowDxfId="44" dataDxfId="43" tableBorderDxfId="42">
  <autoFilter ref="A1:K5" xr:uid="{4A7625A0-5BE6-43CA-B034-85F3C882CB1C}"/>
  <tableColumns count="11">
    <tableColumn id="1" xr3:uid="{C6690465-9FB8-44D1-A0B9-B0F8681B5618}" name="First Name" dataDxfId="41"/>
    <tableColumn id="2" xr3:uid="{2D241F1B-0C83-42BE-8663-83C5E1BF2385}" name="Last Name" dataDxfId="40"/>
    <tableColumn id="3" xr3:uid="{3AAA3F84-0884-465D-A53E-9DD29B7E51A7}" name="Stock"/>
    <tableColumn id="4" xr3:uid="{8D945578-791D-4A36-882F-26C5DC89DE1A}" name="Shares" dataDxfId="39"/>
    <tableColumn id="5" xr3:uid="{7A4A9A86-4750-4400-A405-9D04CB999EE8}" name="Purchase Date" dataDxfId="38"/>
    <tableColumn id="6" xr3:uid="{3A1FCCA4-1415-4F60-8D65-28E4A57866D7}" name="Avg Price"/>
    <tableColumn id="7" xr3:uid="{62F8A97D-E64E-4866-9C30-2F66ADDB5F77}" name="Current Price" dataDxfId="37"/>
    <tableColumn id="8" xr3:uid="{62CD39C0-ABA7-45BE-8808-7D7390657829}" name="Cost" dataDxfId="36"/>
    <tableColumn id="9" xr3:uid="{3B2884B4-0F93-492F-9668-388749CD58B7}" name="% Gain" dataDxfId="35" dataCellStyle="Percent"/>
    <tableColumn id="10" xr3:uid="{3A1824FB-06A3-4A8A-BE9B-67FF727E658D}" name="$ Gain" dataDxfId="34"/>
    <tableColumn id="11" xr3:uid="{DD493051-7807-4580-85DF-D6C0B8D0F28C}" name="Total" dataDxfId="3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7CB9CE6-11E3-49AD-847D-5C195BBE881F}" name="Table6" displayName="Table6" ref="A1:K5" totalsRowShown="0" headerRowDxfId="32" dataDxfId="30" headerRowBorderDxfId="31" tableBorderDxfId="29" totalsRowBorderDxfId="28">
  <autoFilter ref="A1:K5" xr:uid="{80F6ABD2-B787-4771-B69A-B7AFC8AEEE54}"/>
  <sortState xmlns:xlrd2="http://schemas.microsoft.com/office/spreadsheetml/2017/richdata2" ref="A2:K5">
    <sortCondition ref="A1:A5"/>
  </sortState>
  <tableColumns count="11">
    <tableColumn id="1" xr3:uid="{4B192B06-2DCC-48F2-96BE-7516AFEA1FAE}" name="First Name" totalsRowDxfId="27"/>
    <tableColumn id="2" xr3:uid="{90083805-5E13-4C03-9E20-688864E0A6C8}" name="Last Name" totalsRowDxfId="26"/>
    <tableColumn id="3" xr3:uid="{BC3ED9CD-2AC0-4ECB-99BE-3C9CB43ABA27}" name="Stock" dataDxfId="25" totalsRowDxfId="24"/>
    <tableColumn id="4" xr3:uid="{13255F75-176F-4BDD-80B6-C46A392CF58E}" name="Shares" dataDxfId="23" totalsRowDxfId="22"/>
    <tableColumn id="5" xr3:uid="{D5350526-DE68-4DB7-B860-69CEE73D4A07}" name="Purchase Date" totalsRowDxfId="21"/>
    <tableColumn id="6" xr3:uid="{38CAFCA7-11CD-4568-9922-31529508A4EE}" name="Avg Price" totalsRowDxfId="20"/>
    <tableColumn id="7" xr3:uid="{B6CAF3C4-AA0D-4062-ADC4-4B4D238AC9D3}" name="Current Price" dataDxfId="19" totalsRowDxfId="18"/>
    <tableColumn id="8" xr3:uid="{BE2984A2-68E8-43B0-B0E1-101FF620BCA9}" name="Cost" dataDxfId="17" totalsRowDxfId="16"/>
    <tableColumn id="9" xr3:uid="{56992B4F-73D9-4507-94FA-9BBAFC2F26D0}" name="% Gain" dataDxfId="15" totalsRowDxfId="14" dataCellStyle="Percent" totalsRowCellStyle="Percent"/>
    <tableColumn id="10" xr3:uid="{B86610B0-5427-46C6-A105-F78D305A0FB5}" name="$ Gain" dataDxfId="13" totalsRowDxfId="12"/>
    <tableColumn id="11" xr3:uid="{EB90A0CE-0AEA-49CF-95EA-AF52391EE958}" name="Total" dataDxfId="11" totalsRowDxfId="1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5D4D1D-CDEA-4308-A63D-C078C0039A23}" name="Table1" displayName="Table1" ref="A1:F4" totalsRowShown="0" dataDxfId="9" tableBorderDxfId="8">
  <autoFilter ref="A1:F4" xr:uid="{2F3AC0E5-6BBB-4493-AFF7-B2B81AD7BADD}"/>
  <sortState xmlns:xlrd2="http://schemas.microsoft.com/office/spreadsheetml/2017/richdata2" ref="A2:F1">
    <sortCondition ref="E1"/>
  </sortState>
  <tableColumns count="6">
    <tableColumn id="1" xr3:uid="{FFE65859-7CF2-46A4-97D4-7875EB7C24DB}" name="First Name" dataDxfId="7"/>
    <tableColumn id="2" xr3:uid="{76818E0B-3C10-4415-B8DB-D5925FDD4600}" name="Last Name" dataDxfId="6"/>
    <tableColumn id="3" xr3:uid="{C8EB8879-A231-4A63-988B-D28A51B1AD4E}" name="Stock" dataDxfId="5"/>
    <tableColumn id="4" xr3:uid="{7D7D7535-79A3-475A-AF31-84F344F45E59}" name="Shares" dataDxfId="4"/>
    <tableColumn id="5" xr3:uid="{1C2EBF2F-5B06-4CAC-B59D-848CF6C4E6C6}" name="Purchase Date" dataDxfId="3"/>
    <tableColumn id="6" xr3:uid="{D6FEC7AC-0C90-4FAE-91A9-FF2C033A8686}" name="Purchase Price" dataDxfId="2" dataCellStyle="Currenc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E60DA31-B7FD-4A2E-897F-BDFB01654348}" name="Table2" displayName="Table2" ref="A1:I4" totalsRowShown="0" headerRowDxfId="1" tableBorderDxfId="0" headerRowCellStyle="Currency">
  <autoFilter ref="A1:I4" xr:uid="{33F6349E-90D5-4F84-8230-37F1499E82E7}"/>
  <tableColumns count="9">
    <tableColumn id="1" xr3:uid="{B8813880-5BD3-4FBB-8D96-0A050679CC86}" name="First Name"/>
    <tableColumn id="2" xr3:uid="{5D70045D-D133-4CC7-B2C1-92F133B0B81B}" name="Last Name"/>
    <tableColumn id="3" xr3:uid="{70FE8131-2B9A-40CC-98A0-7F183B343CCA}" name="Stock"/>
    <tableColumn id="4" xr3:uid="{508CDE10-6F29-4003-B389-D3A8A735EEE8}" name="Shares"/>
    <tableColumn id="5" xr3:uid="{834B2C3A-B3C3-4709-907B-C3BC74C5979C}" name="Sell Date"/>
    <tableColumn id="6" xr3:uid="{D1B7FC5E-B4D2-4B62-82BF-4E85B09DB504}" name="Sell Price"/>
    <tableColumn id="7" xr3:uid="{E17D40D2-7AAD-4E94-9935-0B7FAD34B6EF}" name="Purchase Price"/>
    <tableColumn id="8" xr3:uid="{A0E8BC52-84DC-468C-93B4-109495539571}" name="Profit"/>
    <tableColumn id="9" xr3:uid="{49BD4C43-7C8C-48CC-B66D-565556D7A8D2}" name="Total"/>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29071-1383-4048-9B1C-A0EFE13B4B92}">
  <sheetPr codeName="Sheet2"/>
  <dimension ref="A1:R24"/>
  <sheetViews>
    <sheetView workbookViewId="0">
      <selection activeCell="J18" sqref="J18"/>
    </sheetView>
  </sheetViews>
  <sheetFormatPr defaultRowHeight="15" x14ac:dyDescent="0.25"/>
  <cols>
    <col min="1" max="1" width="14" customWidth="1"/>
    <col min="2" max="2" width="18" customWidth="1"/>
    <col min="3" max="4" width="9.5703125" customWidth="1"/>
    <col min="5" max="5" width="14.7109375" customWidth="1"/>
    <col min="6" max="6" width="6.85546875" customWidth="1"/>
    <col min="7" max="7" width="19.42578125" customWidth="1"/>
    <col min="8" max="8" width="27.85546875" customWidth="1"/>
    <col min="13" max="13" width="14" customWidth="1"/>
  </cols>
  <sheetData>
    <row r="1" spans="1:18" ht="5.25" customHeight="1" thickBot="1" x14ac:dyDescent="0.3">
      <c r="A1" s="3"/>
      <c r="B1" s="3"/>
      <c r="C1" s="3"/>
      <c r="D1" s="3"/>
      <c r="E1" s="3"/>
      <c r="F1" s="3"/>
      <c r="G1" s="3"/>
      <c r="H1" s="3"/>
      <c r="I1" s="3"/>
      <c r="J1" s="3"/>
      <c r="K1" s="3"/>
      <c r="L1" s="3"/>
      <c r="M1" s="3"/>
      <c r="N1" s="3"/>
      <c r="O1" s="3"/>
      <c r="P1" s="3"/>
      <c r="Q1" s="3"/>
      <c r="R1" s="6"/>
    </row>
    <row r="2" spans="1:18" ht="15.75" thickTop="1" x14ac:dyDescent="0.25">
      <c r="A2" s="4"/>
      <c r="B2" s="4"/>
      <c r="C2" s="95" t="s">
        <v>26</v>
      </c>
      <c r="D2" s="96"/>
      <c r="E2" s="96"/>
      <c r="F2" s="96"/>
      <c r="G2" s="96"/>
      <c r="H2" s="96"/>
      <c r="I2" s="96"/>
      <c r="J2" s="96"/>
      <c r="K2" s="96"/>
      <c r="L2" s="97"/>
      <c r="M2" s="5"/>
      <c r="N2" s="5"/>
      <c r="O2" s="5"/>
      <c r="P2" s="5"/>
      <c r="Q2" s="5"/>
      <c r="R2" s="5"/>
    </row>
    <row r="3" spans="1:18" x14ac:dyDescent="0.25">
      <c r="A3" s="4"/>
      <c r="B3" s="4"/>
      <c r="C3" s="98"/>
      <c r="D3" s="99"/>
      <c r="E3" s="99"/>
      <c r="F3" s="99"/>
      <c r="G3" s="99"/>
      <c r="H3" s="99"/>
      <c r="I3" s="99"/>
      <c r="J3" s="99"/>
      <c r="K3" s="99"/>
      <c r="L3" s="100"/>
      <c r="M3" s="5"/>
      <c r="N3" s="5"/>
      <c r="O3" s="5"/>
      <c r="P3" s="5"/>
      <c r="Q3" s="5"/>
      <c r="R3" s="5"/>
    </row>
    <row r="4" spans="1:18" x14ac:dyDescent="0.25">
      <c r="A4" s="4"/>
      <c r="B4" s="4"/>
      <c r="C4" s="101"/>
      <c r="D4" s="102"/>
      <c r="E4" s="102"/>
      <c r="F4" s="102"/>
      <c r="G4" s="102"/>
      <c r="H4" s="102"/>
      <c r="I4" s="102"/>
      <c r="J4" s="102"/>
      <c r="K4" s="102"/>
      <c r="L4" s="103"/>
      <c r="M4" s="5"/>
      <c r="N4" s="5"/>
      <c r="O4" s="5"/>
      <c r="P4" s="5"/>
      <c r="Q4" s="5"/>
      <c r="R4" s="5"/>
    </row>
    <row r="5" spans="1:18" ht="15.75" thickBot="1" x14ac:dyDescent="0.3">
      <c r="A5" s="4"/>
      <c r="B5" s="4"/>
      <c r="C5" s="8"/>
      <c r="D5" s="7"/>
      <c r="E5" s="7"/>
      <c r="F5" s="7"/>
      <c r="G5" s="7"/>
      <c r="H5" s="7"/>
      <c r="I5" s="7"/>
      <c r="J5" s="7"/>
      <c r="K5" s="7"/>
      <c r="L5" s="9"/>
      <c r="M5" s="5"/>
      <c r="N5" s="5"/>
      <c r="O5" s="5"/>
      <c r="P5" s="5"/>
      <c r="Q5" s="5"/>
      <c r="R5" s="5"/>
    </row>
    <row r="6" spans="1:18" ht="27" customHeight="1" thickBot="1" x14ac:dyDescent="0.3">
      <c r="A6" s="4"/>
      <c r="B6" s="4"/>
      <c r="C6" s="8"/>
      <c r="D6" s="7"/>
      <c r="E6" s="7"/>
      <c r="F6" s="7"/>
      <c r="G6" s="2" t="s">
        <v>15</v>
      </c>
      <c r="H6" s="1"/>
      <c r="I6" s="7"/>
      <c r="J6" s="7"/>
      <c r="K6" s="7"/>
      <c r="L6" s="9"/>
      <c r="M6" s="5"/>
      <c r="N6" s="5"/>
      <c r="O6" s="5"/>
      <c r="P6" s="5"/>
      <c r="Q6" s="5"/>
      <c r="R6" s="5"/>
    </row>
    <row r="7" spans="1:18" ht="27" customHeight="1" thickBot="1" x14ac:dyDescent="0.3">
      <c r="A7" s="4"/>
      <c r="B7" s="4"/>
      <c r="C7" s="8"/>
      <c r="D7" s="7"/>
      <c r="E7" s="7"/>
      <c r="F7" s="7"/>
      <c r="G7" s="2" t="s">
        <v>16</v>
      </c>
      <c r="H7" s="1"/>
      <c r="I7" s="7"/>
      <c r="J7" s="7"/>
      <c r="K7" s="7"/>
      <c r="L7" s="9"/>
      <c r="M7" s="5"/>
      <c r="N7" s="5"/>
      <c r="O7" s="5"/>
      <c r="P7" s="5"/>
      <c r="Q7" s="5"/>
      <c r="R7" s="5"/>
    </row>
    <row r="8" spans="1:18" ht="27" customHeight="1" thickBot="1" x14ac:dyDescent="0.3">
      <c r="A8" s="4"/>
      <c r="B8" s="4"/>
      <c r="C8" s="8"/>
      <c r="D8" s="7"/>
      <c r="E8" s="7"/>
      <c r="F8" s="7"/>
      <c r="G8" s="2" t="s">
        <v>8</v>
      </c>
      <c r="H8" s="1"/>
      <c r="I8" s="7"/>
      <c r="J8" s="7"/>
      <c r="K8" s="7"/>
      <c r="L8" s="9"/>
      <c r="M8" s="5"/>
      <c r="N8" s="5"/>
      <c r="O8" s="5"/>
      <c r="P8" s="5"/>
      <c r="Q8" s="5"/>
      <c r="R8" s="5"/>
    </row>
    <row r="9" spans="1:18" ht="27" customHeight="1" thickBot="1" x14ac:dyDescent="0.3">
      <c r="A9" s="4"/>
      <c r="B9" s="4"/>
      <c r="C9" s="8"/>
      <c r="D9" s="7"/>
      <c r="E9" s="7"/>
      <c r="F9" s="7"/>
      <c r="G9" s="2" t="s">
        <v>9</v>
      </c>
      <c r="H9" s="1"/>
      <c r="I9" s="7"/>
      <c r="J9" s="7"/>
      <c r="K9" s="7"/>
      <c r="L9" s="9"/>
      <c r="M9" s="5"/>
      <c r="N9" s="5"/>
      <c r="O9" s="5"/>
      <c r="P9" s="5"/>
      <c r="Q9" s="5"/>
      <c r="R9" s="5"/>
    </row>
    <row r="10" spans="1:18" ht="27" customHeight="1" thickBot="1" x14ac:dyDescent="0.3">
      <c r="A10" s="4"/>
      <c r="B10" s="4"/>
      <c r="C10" s="8"/>
      <c r="D10" s="7"/>
      <c r="E10" s="7"/>
      <c r="F10" s="7"/>
      <c r="G10" s="2" t="s">
        <v>10</v>
      </c>
      <c r="H10" s="16"/>
      <c r="I10" s="7"/>
      <c r="J10" s="7"/>
      <c r="K10" s="7"/>
      <c r="L10" s="9"/>
      <c r="M10" s="5"/>
      <c r="N10" s="5"/>
      <c r="O10" s="5"/>
      <c r="P10" s="5"/>
      <c r="Q10" s="5"/>
      <c r="R10" s="5"/>
    </row>
    <row r="11" spans="1:18" ht="27" customHeight="1" thickBot="1" x14ac:dyDescent="0.3">
      <c r="A11" s="4"/>
      <c r="B11" s="4"/>
      <c r="C11" s="8"/>
      <c r="D11" s="7"/>
      <c r="E11" s="7"/>
      <c r="F11" s="7"/>
      <c r="G11" s="2" t="s">
        <v>12</v>
      </c>
      <c r="H11" s="76"/>
      <c r="I11" s="7"/>
      <c r="J11" s="7"/>
      <c r="K11" s="7"/>
      <c r="L11" s="9"/>
      <c r="M11" s="5"/>
      <c r="N11" s="5"/>
      <c r="O11" s="5"/>
      <c r="P11" s="5"/>
      <c r="Q11" s="5"/>
      <c r="R11" s="5"/>
    </row>
    <row r="12" spans="1:18" x14ac:dyDescent="0.25">
      <c r="A12" s="4"/>
      <c r="B12" s="4"/>
      <c r="C12" s="8"/>
      <c r="D12" s="7"/>
      <c r="E12" s="7"/>
      <c r="F12" s="7"/>
      <c r="G12" s="7"/>
      <c r="H12" s="7"/>
      <c r="I12" s="7"/>
      <c r="J12" s="7"/>
      <c r="K12" s="7"/>
      <c r="L12" s="9"/>
      <c r="M12" s="5"/>
      <c r="N12" s="5"/>
      <c r="O12" s="5"/>
      <c r="P12" s="5"/>
      <c r="Q12" s="5"/>
      <c r="R12" s="5"/>
    </row>
    <row r="13" spans="1:18" x14ac:dyDescent="0.25">
      <c r="A13" s="4"/>
      <c r="B13" s="4"/>
      <c r="C13" s="8"/>
      <c r="D13" s="7"/>
      <c r="E13" s="7"/>
      <c r="F13" s="7"/>
      <c r="G13" s="7"/>
      <c r="H13" s="7"/>
      <c r="I13" s="7"/>
      <c r="J13" s="7"/>
      <c r="K13" s="7"/>
      <c r="L13" s="9"/>
      <c r="M13" s="5"/>
      <c r="N13" s="5"/>
      <c r="O13" s="5"/>
      <c r="P13" s="5"/>
      <c r="Q13" s="5"/>
      <c r="R13" s="5"/>
    </row>
    <row r="14" spans="1:18" x14ac:dyDescent="0.25">
      <c r="A14" s="4"/>
      <c r="B14" s="4"/>
      <c r="C14" s="8"/>
      <c r="D14" s="7"/>
      <c r="E14" s="7"/>
      <c r="F14" s="7"/>
      <c r="G14" s="7"/>
      <c r="H14" s="7"/>
      <c r="I14" s="7"/>
      <c r="J14" s="7"/>
      <c r="K14" s="7"/>
      <c r="L14" s="9"/>
      <c r="M14" s="5"/>
      <c r="N14" s="5"/>
      <c r="O14" s="5"/>
      <c r="P14" s="5"/>
      <c r="Q14" s="5"/>
      <c r="R14" s="5"/>
    </row>
    <row r="15" spans="1:18" x14ac:dyDescent="0.25">
      <c r="A15" s="4"/>
      <c r="B15" s="4"/>
      <c r="C15" s="8"/>
      <c r="D15" s="7"/>
      <c r="E15" s="7"/>
      <c r="F15" s="7"/>
      <c r="G15" s="7"/>
      <c r="H15" s="7"/>
      <c r="I15" s="7"/>
      <c r="J15" s="7"/>
      <c r="K15" s="7"/>
      <c r="L15" s="9"/>
      <c r="M15" s="5"/>
      <c r="N15" s="5"/>
      <c r="O15" s="5"/>
      <c r="P15" s="5"/>
      <c r="Q15" s="5"/>
      <c r="R15" s="5"/>
    </row>
    <row r="16" spans="1:18" x14ac:dyDescent="0.25">
      <c r="A16" s="4"/>
      <c r="B16" s="4"/>
      <c r="C16" s="8"/>
      <c r="D16" s="7"/>
      <c r="E16" s="7"/>
      <c r="F16" s="7"/>
      <c r="G16" s="7"/>
      <c r="H16" s="7"/>
      <c r="I16" s="7"/>
      <c r="J16" s="7"/>
      <c r="K16" s="7"/>
      <c r="L16" s="9"/>
      <c r="M16" s="5"/>
      <c r="N16" s="5"/>
      <c r="O16" s="5"/>
      <c r="P16" s="5"/>
      <c r="Q16" s="5"/>
      <c r="R16" s="5"/>
    </row>
    <row r="17" spans="1:18" x14ac:dyDescent="0.25">
      <c r="A17" s="4"/>
      <c r="B17" s="4"/>
      <c r="C17" s="8"/>
      <c r="D17" s="7"/>
      <c r="E17" s="7"/>
      <c r="F17" s="7"/>
      <c r="G17" s="7"/>
      <c r="H17" s="7"/>
      <c r="I17" s="7"/>
      <c r="J17" s="7"/>
      <c r="K17" s="7"/>
      <c r="L17" s="9"/>
      <c r="M17" s="5"/>
      <c r="N17" s="5"/>
      <c r="O17" s="5"/>
      <c r="P17" s="5"/>
      <c r="Q17" s="5"/>
      <c r="R17" s="5"/>
    </row>
    <row r="18" spans="1:18" x14ac:dyDescent="0.25">
      <c r="A18" s="4"/>
      <c r="B18" s="4"/>
      <c r="C18" s="8"/>
      <c r="D18" s="7"/>
      <c r="E18" s="7"/>
      <c r="F18" s="7"/>
      <c r="G18" s="7"/>
      <c r="H18" s="7"/>
      <c r="I18" s="7"/>
      <c r="J18" s="7"/>
      <c r="K18" s="7"/>
      <c r="L18" s="9"/>
      <c r="M18" s="5"/>
      <c r="N18" s="5"/>
      <c r="O18" s="5"/>
      <c r="P18" s="5"/>
      <c r="Q18" s="5"/>
      <c r="R18" s="5"/>
    </row>
    <row r="19" spans="1:18" x14ac:dyDescent="0.25">
      <c r="A19" s="4"/>
      <c r="B19" s="4"/>
      <c r="C19" s="8"/>
      <c r="D19" s="7"/>
      <c r="E19" s="7"/>
      <c r="F19" s="7"/>
      <c r="G19" s="7"/>
      <c r="H19" s="7"/>
      <c r="I19" s="7"/>
      <c r="J19" s="7"/>
      <c r="K19" s="7"/>
      <c r="L19" s="9"/>
      <c r="M19" s="5"/>
      <c r="N19" s="5"/>
      <c r="O19" s="5"/>
      <c r="P19" s="5"/>
      <c r="Q19" s="5"/>
      <c r="R19" s="5"/>
    </row>
    <row r="20" spans="1:18" x14ac:dyDescent="0.25">
      <c r="A20" s="4"/>
      <c r="B20" s="4"/>
      <c r="C20" s="8"/>
      <c r="D20" s="7"/>
      <c r="E20" s="7"/>
      <c r="F20" s="7"/>
      <c r="G20" s="7"/>
      <c r="H20" s="7"/>
      <c r="I20" s="7"/>
      <c r="J20" s="7"/>
      <c r="K20" s="7"/>
      <c r="L20" s="9"/>
      <c r="M20" s="5"/>
      <c r="N20" s="5"/>
      <c r="O20" s="5"/>
      <c r="P20" s="5"/>
      <c r="Q20" s="5"/>
      <c r="R20" s="5"/>
    </row>
    <row r="21" spans="1:18" ht="15.75" thickBot="1" x14ac:dyDescent="0.3">
      <c r="A21" s="4"/>
      <c r="B21" s="4"/>
      <c r="C21" s="10"/>
      <c r="D21" s="11"/>
      <c r="E21" s="11"/>
      <c r="F21" s="11"/>
      <c r="G21" s="11"/>
      <c r="H21" s="11"/>
      <c r="I21" s="11"/>
      <c r="J21" s="11"/>
      <c r="K21" s="11"/>
      <c r="L21" s="12"/>
      <c r="M21" s="5"/>
      <c r="N21" s="5"/>
      <c r="O21" s="5"/>
      <c r="P21" s="5"/>
      <c r="Q21" s="5"/>
      <c r="R21" s="5"/>
    </row>
    <row r="22" spans="1:18" ht="15.75" thickTop="1" x14ac:dyDescent="0.25">
      <c r="A22" s="4"/>
      <c r="B22" s="4"/>
      <c r="C22" s="5"/>
      <c r="D22" s="5"/>
      <c r="E22" s="5"/>
      <c r="F22" s="5"/>
      <c r="G22" s="5"/>
      <c r="H22" s="5"/>
      <c r="I22" s="5"/>
      <c r="J22" s="5"/>
      <c r="K22" s="5"/>
      <c r="L22" s="5"/>
      <c r="M22" s="5"/>
      <c r="N22" s="5"/>
      <c r="O22" s="5"/>
      <c r="P22" s="5"/>
      <c r="Q22" s="5"/>
      <c r="R22" s="5"/>
    </row>
    <row r="23" spans="1:18" x14ac:dyDescent="0.25">
      <c r="A23" s="4"/>
      <c r="B23" s="4"/>
      <c r="C23" s="5"/>
      <c r="D23" s="5"/>
      <c r="E23" s="5"/>
      <c r="F23" s="5"/>
      <c r="G23" s="5"/>
      <c r="H23" s="5"/>
      <c r="I23" s="5"/>
      <c r="J23" s="5"/>
      <c r="K23" s="5"/>
      <c r="L23" s="5"/>
      <c r="M23" s="5"/>
      <c r="N23" s="5"/>
      <c r="O23" s="5"/>
      <c r="P23" s="5"/>
      <c r="Q23" s="5"/>
      <c r="R23" s="5"/>
    </row>
    <row r="24" spans="1:18" x14ac:dyDescent="0.25">
      <c r="A24" s="4"/>
      <c r="B24" s="4"/>
      <c r="C24" s="5"/>
      <c r="D24" s="5"/>
      <c r="E24" s="5"/>
      <c r="F24" s="5"/>
      <c r="G24" s="5"/>
      <c r="H24" s="5"/>
      <c r="I24" s="5"/>
      <c r="J24" s="5"/>
      <c r="K24" s="5"/>
      <c r="L24" s="5"/>
      <c r="M24" s="5"/>
      <c r="N24" s="5"/>
      <c r="O24" s="5"/>
      <c r="P24" s="5"/>
      <c r="Q24" s="5"/>
      <c r="R24" s="5"/>
    </row>
  </sheetData>
  <mergeCells count="1">
    <mergeCell ref="C2:L4"/>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2F36C-5B46-4923-A6EE-4FC0185F207A}">
  <sheetPr codeName="Sheet7"/>
  <dimension ref="A1:R24"/>
  <sheetViews>
    <sheetView workbookViewId="0">
      <selection activeCell="J11" sqref="J11"/>
    </sheetView>
  </sheetViews>
  <sheetFormatPr defaultRowHeight="15" x14ac:dyDescent="0.25"/>
  <cols>
    <col min="1" max="1" width="14" customWidth="1"/>
    <col min="2" max="2" width="18" customWidth="1"/>
    <col min="3" max="4" width="9.5703125" customWidth="1"/>
    <col min="5" max="5" width="14.7109375" customWidth="1"/>
    <col min="6" max="6" width="6.85546875" customWidth="1"/>
    <col min="7" max="7" width="19.42578125" customWidth="1"/>
    <col min="8" max="8" width="27.85546875" customWidth="1"/>
    <col min="13" max="13" width="14" customWidth="1"/>
  </cols>
  <sheetData>
    <row r="1" spans="1:18" ht="5.25" customHeight="1" thickBot="1" x14ac:dyDescent="0.3">
      <c r="A1" s="3"/>
      <c r="B1" s="3"/>
      <c r="C1" s="3"/>
      <c r="D1" s="3"/>
      <c r="E1" s="3"/>
      <c r="F1" s="3"/>
      <c r="G1" s="3"/>
      <c r="H1" s="3"/>
      <c r="I1" s="3"/>
      <c r="J1" s="3"/>
      <c r="K1" s="3"/>
      <c r="L1" s="3"/>
      <c r="M1" s="3"/>
      <c r="N1" s="3"/>
      <c r="O1" s="3"/>
      <c r="P1" s="3"/>
      <c r="Q1" s="3"/>
      <c r="R1" s="6"/>
    </row>
    <row r="2" spans="1:18" ht="15.75" thickTop="1" x14ac:dyDescent="0.25">
      <c r="A2" s="4"/>
      <c r="B2" s="4"/>
      <c r="C2" s="104" t="s">
        <v>25</v>
      </c>
      <c r="D2" s="105"/>
      <c r="E2" s="105"/>
      <c r="F2" s="105"/>
      <c r="G2" s="105"/>
      <c r="H2" s="105"/>
      <c r="I2" s="105"/>
      <c r="J2" s="105"/>
      <c r="K2" s="105"/>
      <c r="L2" s="106"/>
      <c r="M2" s="5"/>
      <c r="N2" s="5"/>
      <c r="O2" s="5"/>
      <c r="P2" s="5"/>
      <c r="Q2" s="5"/>
      <c r="R2" s="5"/>
    </row>
    <row r="3" spans="1:18" x14ac:dyDescent="0.25">
      <c r="A3" s="4"/>
      <c r="B3" s="4"/>
      <c r="C3" s="107"/>
      <c r="D3" s="108"/>
      <c r="E3" s="108"/>
      <c r="F3" s="108"/>
      <c r="G3" s="108"/>
      <c r="H3" s="108"/>
      <c r="I3" s="108"/>
      <c r="J3" s="108"/>
      <c r="K3" s="108"/>
      <c r="L3" s="109"/>
      <c r="M3" s="5"/>
      <c r="N3" s="5"/>
      <c r="O3" s="5"/>
      <c r="P3" s="5"/>
      <c r="Q3" s="5"/>
      <c r="R3" s="5"/>
    </row>
    <row r="4" spans="1:18" x14ac:dyDescent="0.25">
      <c r="A4" s="4"/>
      <c r="B4" s="4"/>
      <c r="C4" s="110"/>
      <c r="D4" s="111"/>
      <c r="E4" s="111"/>
      <c r="F4" s="111"/>
      <c r="G4" s="111"/>
      <c r="H4" s="111"/>
      <c r="I4" s="111"/>
      <c r="J4" s="111"/>
      <c r="K4" s="111"/>
      <c r="L4" s="112"/>
      <c r="M4" s="5"/>
      <c r="N4" s="5"/>
      <c r="O4" s="5"/>
      <c r="P4" s="5"/>
      <c r="Q4" s="5"/>
      <c r="R4" s="5"/>
    </row>
    <row r="5" spans="1:18" ht="15.75" thickBot="1" x14ac:dyDescent="0.3">
      <c r="A5" s="4"/>
      <c r="B5" s="4"/>
      <c r="C5" s="42"/>
      <c r="D5" s="43"/>
      <c r="E5" s="43"/>
      <c r="F5" s="43"/>
      <c r="G5" s="43"/>
      <c r="H5" s="43"/>
      <c r="I5" s="43"/>
      <c r="J5" s="43"/>
      <c r="K5" s="43"/>
      <c r="L5" s="46"/>
      <c r="M5" s="5"/>
      <c r="N5" s="5"/>
      <c r="O5" s="5"/>
      <c r="P5" s="5"/>
      <c r="Q5" s="5"/>
      <c r="R5" s="5"/>
    </row>
    <row r="6" spans="1:18" ht="27" customHeight="1" thickBot="1" x14ac:dyDescent="0.3">
      <c r="A6" s="4"/>
      <c r="B6" s="4"/>
      <c r="C6" s="42"/>
      <c r="D6" s="43"/>
      <c r="E6" s="43"/>
      <c r="F6" s="43"/>
      <c r="G6" s="48" t="s">
        <v>15</v>
      </c>
      <c r="H6" s="49"/>
      <c r="I6" s="43"/>
      <c r="J6" s="43"/>
      <c r="K6" s="43"/>
      <c r="L6" s="46"/>
      <c r="M6" s="5"/>
      <c r="N6" s="5"/>
      <c r="O6" s="5"/>
      <c r="P6" s="5"/>
      <c r="Q6" s="5"/>
      <c r="R6" s="5"/>
    </row>
    <row r="7" spans="1:18" ht="27" customHeight="1" thickBot="1" x14ac:dyDescent="0.3">
      <c r="A7" s="4"/>
      <c r="B7" s="4"/>
      <c r="C7" s="42"/>
      <c r="D7" s="43"/>
      <c r="E7" s="43"/>
      <c r="F7" s="43"/>
      <c r="G7" s="48" t="s">
        <v>16</v>
      </c>
      <c r="H7" s="49"/>
      <c r="I7" s="43"/>
      <c r="J7" s="43"/>
      <c r="K7" s="43"/>
      <c r="L7" s="46"/>
      <c r="M7" s="5"/>
      <c r="N7" s="5"/>
      <c r="O7" s="5"/>
      <c r="P7" s="5"/>
      <c r="Q7" s="5"/>
      <c r="R7" s="5"/>
    </row>
    <row r="8" spans="1:18" ht="27" customHeight="1" thickBot="1" x14ac:dyDescent="0.3">
      <c r="A8" s="4"/>
      <c r="B8" s="4"/>
      <c r="C8" s="42"/>
      <c r="D8" s="43"/>
      <c r="E8" s="43"/>
      <c r="F8" s="43"/>
      <c r="G8" s="48" t="s">
        <v>8</v>
      </c>
      <c r="H8" s="49"/>
      <c r="I8" s="43"/>
      <c r="J8" s="43"/>
      <c r="K8" s="43"/>
      <c r="L8" s="46"/>
      <c r="M8" s="5"/>
      <c r="N8" s="5"/>
      <c r="O8" s="5"/>
      <c r="P8" s="5"/>
      <c r="Q8" s="5"/>
      <c r="R8" s="5"/>
    </row>
    <row r="9" spans="1:18" ht="27" customHeight="1" thickBot="1" x14ac:dyDescent="0.3">
      <c r="A9" s="4"/>
      <c r="B9" s="4"/>
      <c r="C9" s="42"/>
      <c r="D9" s="43"/>
      <c r="E9" s="43"/>
      <c r="F9" s="43"/>
      <c r="G9" s="48" t="s">
        <v>9</v>
      </c>
      <c r="H9" s="49"/>
      <c r="I9" s="43"/>
      <c r="J9" s="43"/>
      <c r="K9" s="43"/>
      <c r="L9" s="46"/>
      <c r="M9" s="5"/>
      <c r="N9" s="5"/>
      <c r="O9" s="5"/>
      <c r="P9" s="5"/>
      <c r="Q9" s="5"/>
      <c r="R9" s="5"/>
    </row>
    <row r="10" spans="1:18" ht="27" customHeight="1" thickBot="1" x14ac:dyDescent="0.3">
      <c r="A10" s="4"/>
      <c r="B10" s="4"/>
      <c r="C10" s="42"/>
      <c r="D10" s="43"/>
      <c r="E10" s="43"/>
      <c r="F10" s="43"/>
      <c r="G10" s="48" t="s">
        <v>27</v>
      </c>
      <c r="H10" s="50"/>
      <c r="I10" s="43"/>
      <c r="J10" s="43"/>
      <c r="K10" s="43"/>
      <c r="L10" s="46"/>
      <c r="M10" s="5"/>
      <c r="N10" s="5"/>
      <c r="O10" s="5"/>
      <c r="P10" s="5"/>
      <c r="Q10" s="5"/>
      <c r="R10" s="5"/>
    </row>
    <row r="11" spans="1:18" ht="27" customHeight="1" thickBot="1" x14ac:dyDescent="0.3">
      <c r="A11" s="4"/>
      <c r="B11" s="4"/>
      <c r="C11" s="42"/>
      <c r="D11" s="43"/>
      <c r="E11" s="43"/>
      <c r="F11" s="43"/>
      <c r="G11" s="48" t="s">
        <v>28</v>
      </c>
      <c r="H11" s="49"/>
      <c r="I11" s="43"/>
      <c r="J11" s="43"/>
      <c r="K11" s="43"/>
      <c r="L11" s="46"/>
      <c r="M11" s="5"/>
      <c r="N11" s="5"/>
      <c r="O11" s="5"/>
      <c r="P11" s="5"/>
      <c r="Q11" s="5"/>
      <c r="R11" s="5"/>
    </row>
    <row r="12" spans="1:18" x14ac:dyDescent="0.25">
      <c r="A12" s="4"/>
      <c r="B12" s="4"/>
      <c r="C12" s="42"/>
      <c r="D12" s="43"/>
      <c r="E12" s="43"/>
      <c r="F12" s="43"/>
      <c r="G12" s="43"/>
      <c r="H12" s="43"/>
      <c r="I12" s="43"/>
      <c r="J12" s="43"/>
      <c r="K12" s="43"/>
      <c r="L12" s="46"/>
      <c r="M12" s="5"/>
      <c r="N12" s="5"/>
      <c r="O12" s="5"/>
      <c r="P12" s="5"/>
      <c r="Q12" s="5"/>
      <c r="R12" s="5"/>
    </row>
    <row r="13" spans="1:18" x14ac:dyDescent="0.25">
      <c r="A13" s="4"/>
      <c r="B13" s="4"/>
      <c r="C13" s="42"/>
      <c r="D13" s="43"/>
      <c r="E13" s="43"/>
      <c r="F13" s="43"/>
      <c r="G13" s="43"/>
      <c r="H13" s="43"/>
      <c r="I13" s="43"/>
      <c r="J13" s="43"/>
      <c r="K13" s="43"/>
      <c r="L13" s="46"/>
      <c r="M13" s="5"/>
      <c r="N13" s="5"/>
      <c r="O13" s="5"/>
      <c r="P13" s="5"/>
      <c r="Q13" s="5"/>
      <c r="R13" s="5"/>
    </row>
    <row r="14" spans="1:18" x14ac:dyDescent="0.25">
      <c r="A14" s="4"/>
      <c r="B14" s="4"/>
      <c r="C14" s="42"/>
      <c r="D14" s="43"/>
      <c r="E14" s="43"/>
      <c r="F14" s="43"/>
      <c r="G14" s="43"/>
      <c r="H14" s="43"/>
      <c r="I14" s="43"/>
      <c r="J14" s="43"/>
      <c r="K14" s="43"/>
      <c r="L14" s="46"/>
      <c r="M14" s="5"/>
      <c r="N14" s="5"/>
      <c r="O14" s="5"/>
      <c r="P14" s="5"/>
      <c r="Q14" s="5"/>
      <c r="R14" s="5"/>
    </row>
    <row r="15" spans="1:18" x14ac:dyDescent="0.25">
      <c r="A15" s="4"/>
      <c r="B15" s="4"/>
      <c r="C15" s="42"/>
      <c r="D15" s="43"/>
      <c r="E15" s="43"/>
      <c r="F15" s="43"/>
      <c r="G15" s="43"/>
      <c r="H15" s="43"/>
      <c r="I15" s="43"/>
      <c r="J15" s="43"/>
      <c r="K15" s="43"/>
      <c r="L15" s="46"/>
      <c r="M15" s="5"/>
      <c r="N15" s="5"/>
      <c r="O15" s="5"/>
      <c r="P15" s="5"/>
      <c r="Q15" s="5"/>
      <c r="R15" s="5"/>
    </row>
    <row r="16" spans="1:18" x14ac:dyDescent="0.25">
      <c r="A16" s="4"/>
      <c r="B16" s="4"/>
      <c r="C16" s="42"/>
      <c r="D16" s="43"/>
      <c r="E16" s="43"/>
      <c r="F16" s="43"/>
      <c r="G16" s="43"/>
      <c r="H16" s="43"/>
      <c r="I16" s="43"/>
      <c r="J16" s="43"/>
      <c r="K16" s="43"/>
      <c r="L16" s="46"/>
      <c r="M16" s="5"/>
      <c r="N16" s="5"/>
      <c r="O16" s="5"/>
      <c r="P16" s="5"/>
      <c r="Q16" s="5"/>
      <c r="R16" s="5"/>
    </row>
    <row r="17" spans="1:18" x14ac:dyDescent="0.25">
      <c r="A17" s="4"/>
      <c r="B17" s="4"/>
      <c r="C17" s="42"/>
      <c r="D17" s="43"/>
      <c r="E17" s="43"/>
      <c r="F17" s="43"/>
      <c r="G17" s="43"/>
      <c r="H17" s="43"/>
      <c r="I17" s="43"/>
      <c r="J17" s="43"/>
      <c r="K17" s="43"/>
      <c r="L17" s="46"/>
      <c r="M17" s="5"/>
      <c r="N17" s="5"/>
      <c r="O17" s="5"/>
      <c r="P17" s="5"/>
      <c r="Q17" s="5"/>
      <c r="R17" s="5"/>
    </row>
    <row r="18" spans="1:18" x14ac:dyDescent="0.25">
      <c r="A18" s="4"/>
      <c r="B18" s="4"/>
      <c r="C18" s="42"/>
      <c r="D18" s="43"/>
      <c r="E18" s="43"/>
      <c r="F18" s="43"/>
      <c r="G18" s="43"/>
      <c r="H18" s="43"/>
      <c r="I18" s="43"/>
      <c r="J18" s="43"/>
      <c r="K18" s="43"/>
      <c r="L18" s="46"/>
      <c r="M18" s="5"/>
      <c r="N18" s="5"/>
      <c r="O18" s="5"/>
      <c r="P18" s="5"/>
      <c r="Q18" s="5"/>
      <c r="R18" s="5"/>
    </row>
    <row r="19" spans="1:18" x14ac:dyDescent="0.25">
      <c r="A19" s="4"/>
      <c r="B19" s="4"/>
      <c r="C19" s="42"/>
      <c r="D19" s="43"/>
      <c r="E19" s="43"/>
      <c r="F19" s="43"/>
      <c r="G19" s="43"/>
      <c r="H19" s="43"/>
      <c r="I19" s="43"/>
      <c r="J19" s="43"/>
      <c r="K19" s="43"/>
      <c r="L19" s="46"/>
      <c r="M19" s="5"/>
      <c r="N19" s="5"/>
      <c r="O19" s="5"/>
      <c r="P19" s="5"/>
      <c r="Q19" s="5"/>
      <c r="R19" s="5"/>
    </row>
    <row r="20" spans="1:18" x14ac:dyDescent="0.25">
      <c r="A20" s="4"/>
      <c r="B20" s="4"/>
      <c r="C20" s="42"/>
      <c r="D20" s="43"/>
      <c r="E20" s="43"/>
      <c r="F20" s="43"/>
      <c r="G20" s="43"/>
      <c r="H20" s="43"/>
      <c r="I20" s="43"/>
      <c r="J20" s="43"/>
      <c r="K20" s="43"/>
      <c r="L20" s="46"/>
      <c r="M20" s="5"/>
      <c r="N20" s="5"/>
      <c r="O20" s="5"/>
      <c r="P20" s="5"/>
      <c r="Q20" s="5"/>
      <c r="R20" s="5"/>
    </row>
    <row r="21" spans="1:18" ht="15.75" thickBot="1" x14ac:dyDescent="0.3">
      <c r="A21" s="4"/>
      <c r="B21" s="4"/>
      <c r="C21" s="44"/>
      <c r="D21" s="45"/>
      <c r="E21" s="45"/>
      <c r="F21" s="45"/>
      <c r="G21" s="45"/>
      <c r="H21" s="45"/>
      <c r="I21" s="45"/>
      <c r="J21" s="45"/>
      <c r="K21" s="45"/>
      <c r="L21" s="47"/>
      <c r="M21" s="5"/>
      <c r="N21" s="5"/>
      <c r="O21" s="5"/>
      <c r="P21" s="5"/>
      <c r="Q21" s="5"/>
      <c r="R21" s="5"/>
    </row>
    <row r="22" spans="1:18" ht="15.75" thickTop="1" x14ac:dyDescent="0.25">
      <c r="A22" s="4"/>
      <c r="B22" s="4"/>
      <c r="C22" s="5"/>
      <c r="D22" s="5"/>
      <c r="E22" s="5"/>
      <c r="F22" s="5"/>
      <c r="G22" s="5"/>
      <c r="H22" s="5"/>
      <c r="I22" s="5"/>
      <c r="J22" s="5"/>
      <c r="K22" s="5"/>
      <c r="L22" s="5"/>
      <c r="M22" s="5"/>
      <c r="N22" s="5"/>
      <c r="O22" s="5"/>
      <c r="P22" s="5"/>
      <c r="Q22" s="5"/>
      <c r="R22" s="5"/>
    </row>
    <row r="23" spans="1:18" x14ac:dyDescent="0.25">
      <c r="A23" s="4"/>
      <c r="B23" s="4"/>
      <c r="C23" s="5"/>
      <c r="D23" s="5"/>
      <c r="E23" s="5"/>
      <c r="F23" s="5"/>
      <c r="G23" s="5"/>
      <c r="H23" s="5"/>
      <c r="I23" s="5"/>
      <c r="J23" s="5"/>
      <c r="K23" s="5"/>
      <c r="L23" s="5"/>
      <c r="M23" s="5"/>
      <c r="N23" s="5"/>
      <c r="O23" s="5"/>
      <c r="P23" s="5"/>
      <c r="Q23" s="5"/>
      <c r="R23" s="5"/>
    </row>
    <row r="24" spans="1:18" x14ac:dyDescent="0.25">
      <c r="A24" s="4"/>
      <c r="B24" s="4"/>
      <c r="C24" s="5"/>
      <c r="D24" s="5"/>
      <c r="E24" s="5"/>
      <c r="F24" s="5"/>
      <c r="G24" s="5"/>
      <c r="H24" s="5"/>
      <c r="I24" s="5"/>
      <c r="J24" s="5"/>
      <c r="K24" s="5"/>
      <c r="L24" s="5"/>
      <c r="M24" s="5"/>
      <c r="N24" s="5"/>
      <c r="O24" s="5"/>
      <c r="P24" s="5"/>
      <c r="Q24" s="5"/>
      <c r="R24" s="5"/>
    </row>
  </sheetData>
  <mergeCells count="1">
    <mergeCell ref="C2:L4"/>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49B24-1797-4452-800B-BD67CEA5BC73}">
  <sheetPr codeName="Sheet6"/>
  <dimension ref="A1:K5"/>
  <sheetViews>
    <sheetView zoomScaleNormal="100" workbookViewId="0">
      <selection activeCell="F17" sqref="F17"/>
    </sheetView>
  </sheetViews>
  <sheetFormatPr defaultRowHeight="15" x14ac:dyDescent="0.25"/>
  <cols>
    <col min="1" max="1" width="15" customWidth="1"/>
    <col min="2" max="2" width="14.7109375" customWidth="1"/>
    <col min="3" max="3" width="47.42578125" customWidth="1"/>
    <col min="4" max="4" width="10.28515625" style="25" customWidth="1"/>
    <col min="5" max="5" width="19" customWidth="1"/>
    <col min="6" max="6" width="13.42578125" customWidth="1"/>
    <col min="7" max="7" width="17.5703125" customWidth="1"/>
    <col min="8" max="8" width="10.140625" customWidth="1"/>
    <col min="9" max="9" width="10.5703125" customWidth="1"/>
    <col min="10" max="10" width="10" customWidth="1"/>
    <col min="11" max="11" width="10.140625" customWidth="1"/>
  </cols>
  <sheetData>
    <row r="1" spans="1:11" ht="30" customHeight="1" x14ac:dyDescent="0.25">
      <c r="A1" s="89" t="s">
        <v>13</v>
      </c>
      <c r="B1" s="90" t="s">
        <v>14</v>
      </c>
      <c r="C1" s="90" t="s">
        <v>0</v>
      </c>
      <c r="D1" s="91" t="s">
        <v>4</v>
      </c>
      <c r="E1" s="90" t="s">
        <v>5</v>
      </c>
      <c r="F1" s="90" t="s">
        <v>21</v>
      </c>
      <c r="G1" s="90" t="s">
        <v>3</v>
      </c>
      <c r="H1" s="90" t="s">
        <v>2</v>
      </c>
      <c r="I1" s="90" t="s">
        <v>6</v>
      </c>
      <c r="J1" s="90" t="s">
        <v>7</v>
      </c>
      <c r="K1" s="90" t="s">
        <v>1</v>
      </c>
    </row>
    <row r="2" spans="1:11" x14ac:dyDescent="0.25">
      <c r="A2" s="58" t="s">
        <v>29</v>
      </c>
      <c r="B2" s="52" t="s">
        <v>30</v>
      </c>
      <c r="C2" s="75" t="e" vm="1">
        <v>#VALUE!</v>
      </c>
      <c r="D2" s="53">
        <v>12</v>
      </c>
      <c r="E2" s="54">
        <v>43984</v>
      </c>
      <c r="F2" s="56">
        <v>112.3</v>
      </c>
      <c r="G2" s="73" cm="1">
        <f t="array" ref="G2">_FV(C2,"Price")</f>
        <v>230.77</v>
      </c>
      <c r="H2" s="73">
        <f>(F2 * D2)</f>
        <v>1347.6</v>
      </c>
      <c r="I2" s="74">
        <f xml:space="preserve"> ((G2 - F2) / F2)</f>
        <v>1.0549421193232416</v>
      </c>
      <c r="J2" s="73">
        <f xml:space="preserve"> ((G2 - F2) / F2) * H2</f>
        <v>1421.6400000000003</v>
      </c>
      <c r="K2" s="73">
        <f>SUM(H2 + J2)</f>
        <v>2769.2400000000002</v>
      </c>
    </row>
    <row r="3" spans="1:11" x14ac:dyDescent="0.25">
      <c r="A3" s="58" t="s">
        <v>31</v>
      </c>
      <c r="B3" s="52" t="s">
        <v>32</v>
      </c>
      <c r="C3" s="75" t="e" vm="2">
        <v>#VALUE!</v>
      </c>
      <c r="D3" s="53">
        <v>10</v>
      </c>
      <c r="E3" s="54">
        <v>43994</v>
      </c>
      <c r="F3" s="56">
        <v>20</v>
      </c>
      <c r="G3" s="73" cm="1">
        <f t="array" ref="G3">_FV(C3,"Price")</f>
        <v>25.119900000000001</v>
      </c>
      <c r="H3" s="73">
        <f>(F3 * D3)</f>
        <v>200</v>
      </c>
      <c r="I3" s="74">
        <f xml:space="preserve"> ((G3 - F3) / F3)</f>
        <v>0.25599500000000008</v>
      </c>
      <c r="J3" s="73">
        <f xml:space="preserve"> ((G3 - F3) / F3) * H3</f>
        <v>51.199000000000019</v>
      </c>
      <c r="K3" s="73">
        <f>SUM(H3 + J3)</f>
        <v>251.19900000000001</v>
      </c>
    </row>
    <row r="4" spans="1:11" x14ac:dyDescent="0.25">
      <c r="A4" s="58" t="s">
        <v>34</v>
      </c>
      <c r="B4" s="52" t="s">
        <v>35</v>
      </c>
      <c r="C4" s="75" t="e" vm="3">
        <v>#VALUE!</v>
      </c>
      <c r="D4" s="53">
        <v>12</v>
      </c>
      <c r="E4" s="54">
        <v>43635</v>
      </c>
      <c r="F4" s="56">
        <v>15</v>
      </c>
      <c r="G4" s="73" cm="1">
        <f t="array" ref="G4">_FV(C4,"Price")</f>
        <v>32.880000000000003</v>
      </c>
      <c r="H4" s="73">
        <f>(F4 * D4)</f>
        <v>180</v>
      </c>
      <c r="I4" s="74">
        <f xml:space="preserve"> ((G4 - F4) / F4)</f>
        <v>1.1920000000000002</v>
      </c>
      <c r="J4" s="73">
        <f xml:space="preserve"> ((G4 - F4) / F4) * H4</f>
        <v>214.56000000000003</v>
      </c>
      <c r="K4" s="73">
        <f>SUM(H4 + J4)</f>
        <v>394.56000000000006</v>
      </c>
    </row>
    <row r="5" spans="1:11" x14ac:dyDescent="0.25">
      <c r="A5" s="77" t="s">
        <v>17</v>
      </c>
      <c r="B5" s="92"/>
      <c r="C5" s="92"/>
      <c r="D5" s="93"/>
      <c r="E5" s="92"/>
      <c r="F5" s="92"/>
      <c r="G5" s="92"/>
      <c r="H5" s="33">
        <f>SUM(H2:H4)</f>
        <v>1727.6</v>
      </c>
      <c r="I5" s="94">
        <f>SUM(I2:I4) / 3</f>
        <v>0.8343123731077472</v>
      </c>
      <c r="J5" s="33">
        <f>SUM(J2:J4)</f>
        <v>1687.3990000000003</v>
      </c>
      <c r="K5" s="33">
        <f>SUM(K2:K4)</f>
        <v>3414.9990000000003</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4BF00-62DA-46C9-97A5-96A7D1BD5D58}">
  <sheetPr codeName="Sheet1"/>
  <dimension ref="A1:K5"/>
  <sheetViews>
    <sheetView tabSelected="1" zoomScale="110" zoomScaleNormal="110" workbookViewId="0">
      <selection activeCell="C10" sqref="C10"/>
    </sheetView>
  </sheetViews>
  <sheetFormatPr defaultRowHeight="15" x14ac:dyDescent="0.25"/>
  <cols>
    <col min="1" max="1" width="12.7109375" customWidth="1"/>
    <col min="2" max="2" width="12.5703125" customWidth="1"/>
    <col min="3" max="3" width="45.42578125" style="28" customWidth="1"/>
    <col min="4" max="4" width="12.42578125" style="25" customWidth="1"/>
    <col min="5" max="5" width="14.7109375" customWidth="1"/>
    <col min="6" max="6" width="11.85546875" customWidth="1"/>
    <col min="7" max="7" width="14.7109375" customWidth="1"/>
    <col min="8" max="9" width="11" customWidth="1"/>
    <col min="10" max="10" width="10.28515625" customWidth="1"/>
    <col min="11" max="11" width="13.28515625" customWidth="1"/>
  </cols>
  <sheetData>
    <row r="1" spans="1:11" x14ac:dyDescent="0.25">
      <c r="A1" s="13" t="s">
        <v>13</v>
      </c>
      <c r="B1" s="14" t="s">
        <v>14</v>
      </c>
      <c r="C1" s="27" t="s">
        <v>0</v>
      </c>
      <c r="D1" s="23" t="s">
        <v>4</v>
      </c>
      <c r="E1" s="14" t="s">
        <v>5</v>
      </c>
      <c r="F1" s="14" t="s">
        <v>21</v>
      </c>
      <c r="G1" s="14" t="s">
        <v>3</v>
      </c>
      <c r="H1" s="14" t="s">
        <v>2</v>
      </c>
      <c r="I1" s="14" t="s">
        <v>6</v>
      </c>
      <c r="J1" s="14" t="s">
        <v>7</v>
      </c>
      <c r="K1" s="15" t="s">
        <v>1</v>
      </c>
    </row>
    <row r="2" spans="1:11" x14ac:dyDescent="0.25">
      <c r="A2" s="17" t="s">
        <v>29</v>
      </c>
      <c r="B2" s="18" t="s">
        <v>30</v>
      </c>
      <c r="C2" s="26" t="e" vm="1">
        <v>#VALUE!</v>
      </c>
      <c r="D2" s="24">
        <v>12</v>
      </c>
      <c r="E2" s="19">
        <v>43984</v>
      </c>
      <c r="F2" s="20">
        <v>112.3</v>
      </c>
      <c r="G2" s="70" cm="1">
        <f t="array" ref="G2">_FV(C2,"Price")</f>
        <v>230.77</v>
      </c>
      <c r="H2" s="70">
        <f t="shared" ref="H2:H4" si="0">(F2 * D2)</f>
        <v>1347.6</v>
      </c>
      <c r="I2" s="71">
        <f t="shared" ref="I2:I4" si="1" xml:space="preserve"> ((G2 - F2) / F2)</f>
        <v>1.0549421193232416</v>
      </c>
      <c r="J2" s="70">
        <f t="shared" ref="J2:J4" si="2" xml:space="preserve"> ((G2 - F2) / F2) * H2</f>
        <v>1421.6400000000003</v>
      </c>
      <c r="K2" s="72">
        <f t="shared" ref="K2:K4" si="3">SUM(H2 + J2)</f>
        <v>2769.2400000000002</v>
      </c>
    </row>
    <row r="3" spans="1:11" x14ac:dyDescent="0.25">
      <c r="A3" s="17" t="s">
        <v>31</v>
      </c>
      <c r="B3" s="18" t="s">
        <v>32</v>
      </c>
      <c r="C3" s="26" t="e" vm="4">
        <v>#VALUE!</v>
      </c>
      <c r="D3" s="24">
        <v>10</v>
      </c>
      <c r="E3" s="19">
        <v>43994</v>
      </c>
      <c r="F3" s="20">
        <v>20</v>
      </c>
      <c r="G3" s="70" cm="1">
        <f t="array" ref="G3">_FV(C3,"Price")</f>
        <v>25.19</v>
      </c>
      <c r="H3" s="70">
        <f t="shared" si="0"/>
        <v>200</v>
      </c>
      <c r="I3" s="71">
        <f t="shared" si="1"/>
        <v>0.25950000000000006</v>
      </c>
      <c r="J3" s="70">
        <f t="shared" si="2"/>
        <v>51.900000000000013</v>
      </c>
      <c r="K3" s="72">
        <f t="shared" si="3"/>
        <v>251.9</v>
      </c>
    </row>
    <row r="4" spans="1:11" x14ac:dyDescent="0.25">
      <c r="A4" s="17" t="s">
        <v>34</v>
      </c>
      <c r="B4" s="18" t="s">
        <v>35</v>
      </c>
      <c r="C4" s="26" t="e" vm="3">
        <v>#VALUE!</v>
      </c>
      <c r="D4" s="24">
        <v>12</v>
      </c>
      <c r="E4" s="19">
        <v>43635</v>
      </c>
      <c r="F4" s="20">
        <v>15</v>
      </c>
      <c r="G4" s="70" cm="1">
        <f t="array" ref="G4">_FV(C4,"Price")</f>
        <v>32.880000000000003</v>
      </c>
      <c r="H4" s="70">
        <f t="shared" si="0"/>
        <v>180</v>
      </c>
      <c r="I4" s="71">
        <f t="shared" si="1"/>
        <v>1.1920000000000002</v>
      </c>
      <c r="J4" s="70">
        <f t="shared" si="2"/>
        <v>214.56000000000003</v>
      </c>
      <c r="K4" s="72">
        <f t="shared" si="3"/>
        <v>394.56000000000006</v>
      </c>
    </row>
    <row r="5" spans="1:11" x14ac:dyDescent="0.25">
      <c r="A5" s="34" t="s">
        <v>17</v>
      </c>
      <c r="B5" s="30"/>
      <c r="C5" s="40"/>
      <c r="D5" s="41"/>
      <c r="E5" s="30"/>
      <c r="F5" s="30"/>
      <c r="G5" s="30"/>
      <c r="H5" s="31">
        <f>SUM(H2:H4)</f>
        <v>1727.6</v>
      </c>
      <c r="I5" s="32">
        <f>SUM(I2:I4) / 3</f>
        <v>0.83548070644108063</v>
      </c>
      <c r="J5" s="31">
        <f>SUM(J2:J4)</f>
        <v>1688.1000000000004</v>
      </c>
      <c r="K5" s="33">
        <f>SUM(K2:K4)</f>
        <v>3415.7000000000003</v>
      </c>
    </row>
  </sheetData>
  <pageMargins left="0.7" right="0.7" top="0.75" bottom="0.75" header="0.3" footer="0.3"/>
  <pageSetup orientation="portrait" horizontalDpi="300"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5F24A-85FA-4D6E-8BB7-0EA70EC6F4AF}">
  <sheetPr codeName="Sheet3"/>
  <dimension ref="A1:F5"/>
  <sheetViews>
    <sheetView workbookViewId="0">
      <selection activeCell="I16" sqref="I16"/>
    </sheetView>
  </sheetViews>
  <sheetFormatPr defaultRowHeight="15" x14ac:dyDescent="0.25"/>
  <cols>
    <col min="1" max="1" width="12.7109375" customWidth="1"/>
    <col min="2" max="2" width="13.140625" customWidth="1"/>
    <col min="3" max="3" width="46.7109375" style="28" customWidth="1"/>
    <col min="4" max="4" width="10.42578125" style="25" customWidth="1"/>
    <col min="5" max="5" width="16.5703125" style="22" customWidth="1"/>
    <col min="6" max="6" width="16" style="21" customWidth="1"/>
  </cols>
  <sheetData>
    <row r="1" spans="1:6" x14ac:dyDescent="0.25">
      <c r="A1" s="78" t="s">
        <v>13</v>
      </c>
      <c r="B1" s="79" t="s">
        <v>14</v>
      </c>
      <c r="C1" s="80" t="s">
        <v>0</v>
      </c>
      <c r="D1" s="81" t="s">
        <v>4</v>
      </c>
      <c r="E1" s="82" t="s">
        <v>5</v>
      </c>
      <c r="F1" s="83" t="s">
        <v>11</v>
      </c>
    </row>
    <row r="2" spans="1:6" x14ac:dyDescent="0.25">
      <c r="A2" s="58" t="s">
        <v>29</v>
      </c>
      <c r="B2" s="52" t="s">
        <v>30</v>
      </c>
      <c r="C2" s="75" t="e" vm="1">
        <v>#VALUE!</v>
      </c>
      <c r="D2" s="53">
        <v>20</v>
      </c>
      <c r="E2" s="54">
        <v>43984</v>
      </c>
      <c r="F2" s="56">
        <v>112.3</v>
      </c>
    </row>
    <row r="3" spans="1:6" x14ac:dyDescent="0.25">
      <c r="A3" s="58" t="s">
        <v>31</v>
      </c>
      <c r="B3" s="52" t="s">
        <v>32</v>
      </c>
      <c r="C3" s="75" t="s">
        <v>33</v>
      </c>
      <c r="D3" s="53">
        <v>10</v>
      </c>
      <c r="E3" s="54">
        <v>43994</v>
      </c>
      <c r="F3" s="56">
        <v>20</v>
      </c>
    </row>
    <row r="4" spans="1:6" x14ac:dyDescent="0.25">
      <c r="A4" s="58" t="s">
        <v>34</v>
      </c>
      <c r="B4" s="52" t="s">
        <v>35</v>
      </c>
      <c r="C4" s="75" t="e" vm="3">
        <v>#VALUE!</v>
      </c>
      <c r="D4" s="53">
        <v>16</v>
      </c>
      <c r="E4" s="54">
        <v>43635</v>
      </c>
      <c r="F4" s="56">
        <v>15</v>
      </c>
    </row>
    <row r="5" spans="1:6" x14ac:dyDescent="0.25">
      <c r="A5" s="15" t="s">
        <v>24</v>
      </c>
      <c r="B5" s="84"/>
      <c r="C5" s="85"/>
      <c r="D5" s="86"/>
      <c r="E5" s="87"/>
      <c r="F5" s="88"/>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F54FD-D552-441B-98E5-82D39B0352C4}">
  <sheetPr codeName="Sheet4"/>
  <dimension ref="A1:I4"/>
  <sheetViews>
    <sheetView workbookViewId="0">
      <selection activeCell="K18" sqref="K18"/>
    </sheetView>
  </sheetViews>
  <sheetFormatPr defaultRowHeight="15" x14ac:dyDescent="0.25"/>
  <cols>
    <col min="1" max="1" width="16.85546875" customWidth="1"/>
    <col min="2" max="2" width="15.85546875" customWidth="1"/>
    <col min="3" max="3" width="38.42578125" customWidth="1"/>
    <col min="4" max="4" width="11.42578125" customWidth="1"/>
    <col min="5" max="5" width="12.140625" customWidth="1"/>
    <col min="6" max="6" width="11.7109375" customWidth="1"/>
    <col min="7" max="7" width="16" customWidth="1"/>
  </cols>
  <sheetData>
    <row r="1" spans="1:9" x14ac:dyDescent="0.25">
      <c r="A1" s="59" t="s">
        <v>13</v>
      </c>
      <c r="B1" s="60" t="s">
        <v>14</v>
      </c>
      <c r="C1" s="60" t="s">
        <v>0</v>
      </c>
      <c r="D1" s="61" t="s">
        <v>4</v>
      </c>
      <c r="E1" s="62" t="s">
        <v>19</v>
      </c>
      <c r="F1" s="63" t="s">
        <v>18</v>
      </c>
      <c r="G1" s="64" t="s">
        <v>11</v>
      </c>
      <c r="H1" s="65" t="s">
        <v>20</v>
      </c>
      <c r="I1" s="65" t="s">
        <v>1</v>
      </c>
    </row>
    <row r="2" spans="1:9" x14ac:dyDescent="0.25">
      <c r="A2" s="58" t="s">
        <v>29</v>
      </c>
      <c r="B2" s="52" t="s">
        <v>30</v>
      </c>
      <c r="C2" s="52" t="e" vm="1">
        <v>#VALUE!</v>
      </c>
      <c r="D2" s="53">
        <v>8</v>
      </c>
      <c r="E2" s="54">
        <v>43994</v>
      </c>
      <c r="F2" s="20">
        <v>25.56</v>
      </c>
      <c r="G2" s="55">
        <v>112.3</v>
      </c>
      <c r="H2" s="56">
        <f>((F2 * D2) - (G2 * D2))</f>
        <v>-693.92</v>
      </c>
      <c r="I2" s="56">
        <f>(G2 * D2 + H2)</f>
        <v>204.48000000000002</v>
      </c>
    </row>
    <row r="3" spans="1:9" x14ac:dyDescent="0.25">
      <c r="A3" s="58" t="s">
        <v>34</v>
      </c>
      <c r="B3" s="52" t="s">
        <v>35</v>
      </c>
      <c r="C3" s="52" t="e" vm="5">
        <v>#VALUE!</v>
      </c>
      <c r="D3" s="53">
        <v>4</v>
      </c>
      <c r="E3" s="54">
        <v>43994</v>
      </c>
      <c r="F3" s="20">
        <v>32.799999999999997</v>
      </c>
      <c r="G3" s="55">
        <v>15</v>
      </c>
      <c r="H3" s="56">
        <f>((F3 * D3) - (G3 * D3))</f>
        <v>71.199999999999989</v>
      </c>
      <c r="I3" s="56">
        <f>(G3 * D3 + H3)</f>
        <v>131.19999999999999</v>
      </c>
    </row>
    <row r="4" spans="1:9" x14ac:dyDescent="0.25">
      <c r="A4" s="57" t="s">
        <v>24</v>
      </c>
      <c r="B4" s="66"/>
      <c r="C4" s="66"/>
      <c r="D4" s="67"/>
      <c r="E4" s="68"/>
      <c r="F4" s="51"/>
      <c r="G4" s="69"/>
      <c r="H4" s="69"/>
      <c r="I4" s="69"/>
    </row>
  </sheetData>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3181A-E636-42EE-A45A-1A2E1F3CD2E0}">
  <sheetPr codeName="Sheet5"/>
  <dimension ref="A1:D5"/>
  <sheetViews>
    <sheetView topLeftCell="A4" workbookViewId="0">
      <selection activeCell="G13" sqref="G13"/>
    </sheetView>
  </sheetViews>
  <sheetFormatPr defaultRowHeight="15" x14ac:dyDescent="0.25"/>
  <cols>
    <col min="1" max="1" width="12.7109375" customWidth="1"/>
    <col min="2" max="2" width="13.5703125" customWidth="1"/>
    <col min="3" max="3" width="15.7109375" style="39" customWidth="1"/>
    <col min="4" max="4" width="16.42578125" style="39" customWidth="1"/>
  </cols>
  <sheetData>
    <row r="1" spans="1:4" x14ac:dyDescent="0.25">
      <c r="A1" s="35" t="s">
        <v>13</v>
      </c>
      <c r="B1" s="35" t="s">
        <v>14</v>
      </c>
      <c r="C1" s="37" t="s">
        <v>22</v>
      </c>
      <c r="D1" s="37" t="s">
        <v>23</v>
      </c>
    </row>
    <row r="2" spans="1:4" x14ac:dyDescent="0.25">
      <c r="A2" s="29" t="s">
        <v>29</v>
      </c>
      <c r="B2" s="29" t="s">
        <v>30</v>
      </c>
      <c r="C2" s="38"/>
      <c r="D2" s="38"/>
    </row>
    <row r="3" spans="1:4" x14ac:dyDescent="0.25">
      <c r="A3" s="29" t="s">
        <v>31</v>
      </c>
      <c r="B3" s="29" t="s">
        <v>32</v>
      </c>
      <c r="C3" s="38"/>
      <c r="D3" s="38"/>
    </row>
    <row r="4" spans="1:4" x14ac:dyDescent="0.25">
      <c r="A4" s="29" t="s">
        <v>34</v>
      </c>
      <c r="B4" s="29" t="s">
        <v>35</v>
      </c>
      <c r="C4" s="38"/>
      <c r="D4" s="38"/>
    </row>
    <row r="5" spans="1:4" x14ac:dyDescent="0.25">
      <c r="A5" s="35"/>
      <c r="B5" s="36"/>
      <c r="C5" s="37"/>
      <c r="D5" s="3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C84BB01-C183-4930-8F5B-BAB44521B11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Buy Data Entry</vt:lpstr>
      <vt:lpstr>Sell Data Entry</vt:lpstr>
      <vt:lpstr>Combined Current Holdings</vt:lpstr>
      <vt:lpstr>Current Holdings</vt:lpstr>
      <vt:lpstr>Purchase Data</vt:lpstr>
      <vt:lpstr>Sell Data</vt:lpstr>
      <vt:lpstr>Investor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Raheem Hampton</dc:creator>
  <cp:lastModifiedBy>Raheem Hampton</cp:lastModifiedBy>
  <dcterms:created xsi:type="dcterms:W3CDTF">2020-05-04T22:14:44Z</dcterms:created>
  <dcterms:modified xsi:type="dcterms:W3CDTF">2020-06-12T15:04:54Z</dcterms:modified>
</cp:coreProperties>
</file>